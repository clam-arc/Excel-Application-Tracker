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satrieu/Downloads/connor's stuff/"/>
    </mc:Choice>
  </mc:AlternateContent>
  <xr:revisionPtr revIDLastSave="0" documentId="13_ncr:1_{B73ADDB4-B3E2-6746-857B-C0FEE3F5D351}" xr6:coauthVersionLast="47" xr6:coauthVersionMax="47" xr10:uidLastSave="{00000000-0000-0000-0000-000000000000}"/>
  <bookViews>
    <workbookView xWindow="20" yWindow="500" windowWidth="28800" windowHeight="16340" xr2:uid="{0BA61602-6F89-3447-AD19-BF7B3011C394}"/>
  </bookViews>
  <sheets>
    <sheet name="Application Process" sheetId="1" r:id="rId1"/>
    <sheet name="Data" sheetId="2" r:id="rId2"/>
  </sheets>
  <definedNames>
    <definedName name="_xlchart.v1.0" hidden="1">Data!$A$7:$A$9</definedName>
    <definedName name="_xlchart.v1.1" hidden="1">Data!$B$7:$B$9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1" l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C12" i="2"/>
  <c r="C10" i="2"/>
  <c r="C9" i="2"/>
  <c r="C8" i="2"/>
  <c r="C7" i="2"/>
  <c r="C13" i="2"/>
  <c r="B2" i="2"/>
  <c r="D2" i="2"/>
  <c r="H2" i="2"/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" i="1"/>
  <c r="G16" i="2"/>
  <c r="G17" i="2"/>
  <c r="G18" i="2"/>
  <c r="G19" i="2"/>
  <c r="G15" i="2"/>
  <c r="G7" i="2"/>
  <c r="G8" i="2"/>
  <c r="G9" i="2"/>
  <c r="G10" i="2"/>
  <c r="G11" i="2"/>
  <c r="G12" i="2"/>
  <c r="G13" i="2"/>
  <c r="G14" i="2"/>
  <c r="G6" i="2"/>
  <c r="G2" i="2"/>
  <c r="F2" i="2"/>
  <c r="E2" i="2"/>
  <c r="A2" i="2"/>
  <c r="C2" i="2" l="1"/>
  <c r="L2" i="1"/>
  <c r="A6" i="2" l="1" a="1"/>
  <c r="A6" i="2" l="1"/>
  <c r="C11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<sst xmlns="http://schemas.openxmlformats.org/spreadsheetml/2006/main" count="143" uniqueCount="59">
  <si>
    <t>Website</t>
  </si>
  <si>
    <t>Interview?</t>
  </si>
  <si>
    <t>Online</t>
  </si>
  <si>
    <t>Indeed</t>
  </si>
  <si>
    <t>Savers</t>
  </si>
  <si>
    <t>Little Caesars</t>
  </si>
  <si>
    <t>Sunmerry</t>
  </si>
  <si>
    <t>Ono Hawaiian</t>
  </si>
  <si>
    <t>In-Person</t>
  </si>
  <si>
    <t>TJ Maxx</t>
  </si>
  <si>
    <t>Panera</t>
  </si>
  <si>
    <t>Wing Stop</t>
  </si>
  <si>
    <t>7 Leaves Café</t>
  </si>
  <si>
    <t>Pie Life Pizza</t>
  </si>
  <si>
    <t>Grocery Outlet</t>
  </si>
  <si>
    <t>Yogurtland</t>
  </si>
  <si>
    <t>Sprouts Farmer Market</t>
  </si>
  <si>
    <t>Bay Poke</t>
  </si>
  <si>
    <t>Planet Fitness</t>
  </si>
  <si>
    <t>Lee's Sandwiches</t>
  </si>
  <si>
    <t>The Habit Burger &amp; Grill</t>
  </si>
  <si>
    <t>Fika Fika Coffee</t>
  </si>
  <si>
    <t>Chik-fil-A</t>
  </si>
  <si>
    <t>KBOP Korean Kitchen</t>
  </si>
  <si>
    <t>Waterworks Aquatics</t>
  </si>
  <si>
    <t>Jack In The Box</t>
  </si>
  <si>
    <t>H-Mart</t>
  </si>
  <si>
    <t>Kyodong</t>
  </si>
  <si>
    <t>Outcome</t>
  </si>
  <si>
    <t>Rejected</t>
  </si>
  <si>
    <t>Business</t>
  </si>
  <si>
    <t>Application Date</t>
  </si>
  <si>
    <t>Status</t>
  </si>
  <si>
    <t>Application Method</t>
  </si>
  <si>
    <t>Login Notes</t>
  </si>
  <si>
    <t>Days Since Application</t>
  </si>
  <si>
    <t>Current Date</t>
  </si>
  <si>
    <t>Need To Apply</t>
  </si>
  <si>
    <t>Interviews</t>
  </si>
  <si>
    <t>Start Week</t>
  </si>
  <si>
    <t>Applications</t>
  </si>
  <si>
    <t>data</t>
  </si>
  <si>
    <t>percent</t>
  </si>
  <si>
    <t>----------------</t>
  </si>
  <si>
    <t>DATA KEY</t>
  </si>
  <si>
    <t>info not required/unapplicable</t>
  </si>
  <si>
    <t>future date/not available yet</t>
  </si>
  <si>
    <t>Total Applications</t>
  </si>
  <si>
    <t>The current date is done with the =TODAY() command, so it will update automatically when you reopen the workbook</t>
  </si>
  <si>
    <t>Follow Up Date:</t>
  </si>
  <si>
    <t>Currently Active</t>
  </si>
  <si>
    <t>Need to Apply</t>
  </si>
  <si>
    <t>Followed Up</t>
  </si>
  <si>
    <t>good to go/no more action</t>
  </si>
  <si>
    <t>bad data, long overdue, or rejected</t>
  </si>
  <si>
    <t>requires action/unfinished processing</t>
  </si>
  <si>
    <t>Indeed login</t>
  </si>
  <si>
    <t>Additional Information
 - Current Date updates automatically using the TODAY() function.
 - Weekly application totals update automatically as new records are added.
 - Extend the weekly table by copying the Start Week date and Applications formula downward.
 - Downloading this workbook creates a personal copy that can be edited without affecting the original.</t>
  </si>
  <si>
    <t>Responses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</si>
</sst>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2"/>
      <color theme="1"/>
      <name val="Calibri"/>
      <family val="2"/>
      <scheme val="minor"/>
    </font>
    <font>
      <sz val="50"/>
      <color theme="1"/>
      <name val="Calibri Light"/>
      <family val="2"/>
      <scheme val="major"/>
    </font>
    <font>
      <sz val="24"/>
      <color theme="1"/>
      <name val="Calibri (Body)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0"/>
      <name val="Calibri (Body)"/>
    </font>
    <font>
      <sz val="13"/>
      <color theme="1"/>
      <name val="Calibri"/>
      <family val="2"/>
      <scheme val="minor"/>
    </font>
    <font>
      <sz val="5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EC9C"/>
        <bgColor indexed="64"/>
      </patternFill>
    </fill>
    <fill>
      <patternFill patternType="solid">
        <fgColor rgb="FFC6F0CE"/>
        <bgColor indexed="64"/>
      </patternFill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8">
    <xf numFmtId="0" fontId="0" fillId="0" borderId="0" xfId="0"/>
    <xf numFmtId="0" fontId="2" fillId="0" borderId="0" xfId="0" applyFont="1"/>
    <xf numFmtId="164" fontId="0" fillId="0" borderId="0" xfId="0" applyNumberFormat="1" applyAlignment="1">
      <alignment horizontal="left"/>
    </xf>
    <xf numFmtId="164" fontId="0" fillId="0" borderId="0" xfId="0" applyNumberFormat="1"/>
    <xf numFmtId="0" fontId="1" fillId="0" borderId="0" xfId="0" applyFont="1" applyAlignment="1">
      <alignment horizontal="center" vertical="center" wrapText="1"/>
    </xf>
    <xf numFmtId="14" fontId="0" fillId="0" borderId="0" xfId="0" applyNumberFormat="1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9" fontId="0" fillId="0" borderId="0" xfId="1" quotePrefix="1" applyFont="1"/>
    <xf numFmtId="9" fontId="0" fillId="0" borderId="0" xfId="1" applyFont="1"/>
    <xf numFmtId="0" fontId="5" fillId="3" borderId="0" xfId="0" applyFont="1" applyFill="1" applyAlignment="1">
      <alignment horizontal="left"/>
    </xf>
    <xf numFmtId="0" fontId="0" fillId="2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4" fillId="6" borderId="0" xfId="0" applyFont="1" applyFill="1" applyAlignment="1">
      <alignment horizontal="left"/>
    </xf>
    <xf numFmtId="0" fontId="6" fillId="0" borderId="0" xfId="0" applyFont="1" applyAlignment="1">
      <alignment horizontal="center" vertical="top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top" wrapText="1"/>
    </xf>
  </cellXfs>
  <cellStyles count="2">
    <cellStyle name="Normal" xfId="0" builtinId="0"/>
    <cellStyle name="Percent" xfId="1" builtinId="5"/>
  </cellStyles>
  <dxfs count="3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50"/>
        <color theme="1"/>
        <name val="Calibri Light"/>
        <family val="2"/>
        <scheme val="major"/>
      </font>
      <alignment horizontal="center" vertical="center" textRotation="0" wrapText="1" indent="0" justifyLastLine="0" shrinkToFit="0" readingOrder="0"/>
    </dxf>
    <dxf>
      <numFmt numFmtId="164" formatCode="[$-F800]dddd\,\ mmmm\ dd\,\ yyyy"/>
    </dxf>
    <dxf>
      <numFmt numFmtId="164" formatCode="[$-F800]dddd\,\ mmmm\ dd\,\ yyyy"/>
      <alignment horizontal="left" vertical="bottom" textRotation="0" wrapText="0" indent="0" justifyLastLine="0" shrinkToFit="0" readingOrder="0"/>
    </dxf>
    <dxf>
      <numFmt numFmtId="164" formatCode="[$-F800]dddd\,\ mmmm\ dd\,\ yyyy"/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808080"/>
      <color rgb="FFC6F0CE"/>
      <color rgb="FFFFEC9C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Data!$A$7:$A$9</c:f>
              <c:strCache>
                <c:ptCount val="3"/>
                <c:pt idx="0">
                  <c:v>Rejected</c:v>
                </c:pt>
                <c:pt idx="1">
                  <c:v>Currently Active</c:v>
                </c:pt>
                <c:pt idx="2">
                  <c:v>Need To Apply</c:v>
                </c:pt>
              </c:strCache>
            </c:strRef>
          </c:cat>
          <c:val>
            <c:numRef>
              <c:f>Data!$B$7:$B$9</c:f>
              <c:numCache>
                <c:formatCode>General</c:formatCode>
                <c:ptCount val="3"/>
                <c:pt idx="0">
                  <c:v>21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8E-9C4C-8AD2-050DD5BA8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Application Method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Data!$A$10:$A$11</c:f>
              <c:strCache>
                <c:ptCount val="2"/>
                <c:pt idx="0">
                  <c:v>Online</c:v>
                </c:pt>
                <c:pt idx="1">
                  <c:v>In-Person</c:v>
                </c:pt>
              </c:strCache>
            </c:strRef>
          </c:cat>
          <c:val>
            <c:numRef>
              <c:f>Data!$B$10:$B$11</c:f>
              <c:numCache>
                <c:formatCode>General</c:formatCode>
                <c:ptCount val="2"/>
                <c:pt idx="0">
                  <c:v>19</c:v>
                </c:pt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5B-494E-B325-54CC162DC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4374000"/>
        <c:axId val="834375712"/>
      </c:barChart>
      <c:catAx>
        <c:axId val="83437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375712"/>
        <c:crosses val="autoZero"/>
        <c:auto val="1"/>
        <c:lblAlgn val="ctr"/>
        <c:lblOffset val="100"/>
        <c:noMultiLvlLbl val="0"/>
      </c:catAx>
      <c:valAx>
        <c:axId val="83437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4374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Applications Submitted</a:t>
            </a:r>
            <a:r>
              <a:rPr lang="en-US" baseline="0"/>
              <a:t> Per Week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Data!$F$6:$F$14</c:f>
              <c:numCache>
                <c:formatCode>m/d/yy</c:formatCode>
                <c:ptCount val="9"/>
                <c:pt idx="0">
                  <c:v>46174</c:v>
                </c:pt>
                <c:pt idx="1">
                  <c:v>46181</c:v>
                </c:pt>
                <c:pt idx="2">
                  <c:v>46188</c:v>
                </c:pt>
                <c:pt idx="3">
                  <c:v>46195</c:v>
                </c:pt>
                <c:pt idx="4">
                  <c:v>46202</c:v>
                </c:pt>
                <c:pt idx="5">
                  <c:v>46209</c:v>
                </c:pt>
                <c:pt idx="6">
                  <c:v>46216</c:v>
                </c:pt>
                <c:pt idx="7">
                  <c:v>46223</c:v>
                </c:pt>
                <c:pt idx="8">
                  <c:v>46230</c:v>
                </c:pt>
              </c:numCache>
            </c:numRef>
          </c:cat>
          <c:val>
            <c:numRef>
              <c:f>Data!$G$6:$G$14</c:f>
              <c:numCache>
                <c:formatCode>General</c:formatCode>
                <c:ptCount val="9"/>
                <c:pt idx="0">
                  <c:v>9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9C-AC46-87FD-41789B095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1892826576"/>
        <c:axId val="1892854672"/>
      </c:barChart>
      <c:catAx>
        <c:axId val="18928265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854672"/>
        <c:crosses val="autoZero"/>
        <c:auto val="0"/>
        <c:lblAlgn val="ctr"/>
        <c:lblOffset val="100"/>
        <c:noMultiLvlLbl val="0"/>
      </c:catAx>
      <c:valAx>
        <c:axId val="1892854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826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6350</xdr:colOff>
      <xdr:row>1</xdr:row>
      <xdr:rowOff>12700</xdr:rowOff>
    </xdr:from>
    <xdr:to>
      <xdr:col>14</xdr:col>
      <xdr:colOff>450850</xdr:colOff>
      <xdr:row>14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7F6288-87CC-1E53-D3ED-356894A613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6350</xdr:colOff>
      <xdr:row>14</xdr:row>
      <xdr:rowOff>114300</xdr:rowOff>
    </xdr:from>
    <xdr:to>
      <xdr:col>14</xdr:col>
      <xdr:colOff>450850</xdr:colOff>
      <xdr:row>28</xdr:row>
      <xdr:rowOff>12700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392B4D-32B1-C522-3676-336017117F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6350</xdr:colOff>
      <xdr:row>28</xdr:row>
      <xdr:rowOff>12700</xdr:rowOff>
    </xdr:from>
    <xdr:to>
      <xdr:col>14</xdr:col>
      <xdr:colOff>450850</xdr:colOff>
      <xdr:row>41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0DA4EFC-8478-9FA5-3CA7-0748C197F6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91E454-AED0-EB4B-A6B4-A5EB75C5EA57}" name="Table2" displayName="Table2" ref="A1:J199" totalsRowShown="0" headerRowDxfId="26">
  <autoFilter ref="A1:J199" xr:uid="{4391E454-AED0-EB4B-A6B4-A5EB75C5EA57}"/>
  <tableColumns count="10">
    <tableColumn id="1" xr3:uid="{41FEBECA-15FC-1349-A3FA-CA7DAD99D83A}" name="Business"/>
    <tableColumn id="2" xr3:uid="{19243A92-AD52-2248-9F1C-B460D4BBE923}" name="Application Date" dataDxfId="29"/>
    <tableColumn id="3" xr3:uid="{2D821A20-79D1-C746-B6BB-659CB2080113}" name="Status" dataDxfId="28"/>
    <tableColumn id="4" xr3:uid="{44A018D8-8BB9-724D-B066-3F8E659D4601}" name="Application Method"/>
    <tableColumn id="5" xr3:uid="{38FCFFAA-C8FF-0945-B306-DDB66CB948E0}" name="Website"/>
    <tableColumn id="6" xr3:uid="{C9004B9E-F576-974F-B84E-E5B60ECD14DA}" name="Login Notes"/>
    <tableColumn id="7" xr3:uid="{62C4A93D-C6FF-9648-BF71-D5A1D305DF91}" name="Interview?"/>
    <tableColumn id="8" xr3:uid="{F7016B78-6B34-D54E-9F29-DBCBECEE26CA}" name="Follow Up Date:" dataDxfId="27"/>
    <tableColumn id="9" xr3:uid="{5A3A4E04-3052-A74F-96FC-516A044CCA66}" name="Outcome"/>
    <tableColumn id="10" xr3:uid="{DD3E0508-81ED-3147-BFF2-0336DA118F9D}" name="Days Since Application">
      <calculatedColumnFormula>IF(OR(B2="",C2="need to apply",B2&gt;TODAY()),"",TODAY()-B2)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85AAA3-A400-AD44-9CD5-DCA0A2B132AD}" name="Table1" displayName="Table1" ref="A1:H3" totalsRowCount="1">
  <autoFilter ref="A1:H2" xr:uid="{2985AAA3-A400-AD44-9CD5-DCA0A2B132AD}"/>
  <tableColumns count="8">
    <tableColumn id="1" xr3:uid="{800B13E3-F5E4-2747-B334-01EF51DC6637}" name="Total Applications">
      <calculatedColumnFormula>COUNTA('Application Process'!A2:A199)</calculatedColumnFormula>
    </tableColumn>
    <tableColumn id="2" xr3:uid="{50B85E10-6239-7F4A-87B8-72CD9BBFA48C}" name="Rejected">
      <calculatedColumnFormula>COUNTIF('Application Process'!C2:C199, "Rejected")</calculatedColumnFormula>
    </tableColumn>
    <tableColumn id="3" xr3:uid="{9C1B22E6-ADFF-6D4E-B9AB-AB3852B96C9F}" name="Currently Active">
      <calculatedColumnFormula>Table1[[#This Row],[Total Applications]]-Table1[[#This Row],[Rejected]]-Table1[[#This Row],[Need To Apply]]</calculatedColumnFormula>
    </tableColumn>
    <tableColumn id="4" xr3:uid="{D9D57887-DFB0-2546-B919-CCF27D92E784}" name="Need To Apply">
      <calculatedColumnFormula>COUNTIF('Application Process'!C2:C199, "need to apply")</calculatedColumnFormula>
    </tableColumn>
    <tableColumn id="5" xr3:uid="{A4510C9F-86AC-2048-835E-5F1987401A45}" name="Online">
      <calculatedColumnFormula>COUNTIF('Application Process'!D2:D199, "Online")</calculatedColumnFormula>
    </tableColumn>
    <tableColumn id="6" xr3:uid="{2292E2BD-29C3-E14A-A443-089A81B259DF}" name="In-Person">
      <calculatedColumnFormula>COUNTIF('Application Process'!D2:D199, "In-Person")</calculatedColumnFormula>
    </tableColumn>
    <tableColumn id="7" xr3:uid="{EF0CABE0-6294-9F47-B8FD-CA0CEEE74C44}" name="Interviews">
      <calculatedColumnFormula>COUNTIF('Application Process'!G2:G199, "Yes")</calculatedColumnFormula>
    </tableColumn>
    <tableColumn id="8" xr3:uid="{9B20EEED-232F-D546-A50D-38F1427DE1CB}" name="Responses">
      <calculatedColumnFormula>COUNTIF('Application Process'!$I$3:$I$200,"&lt;&gt;")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1528C-51EE-2548-87A3-F4A628D2B47B}">
  <dimension ref="A1:L199"/>
  <sheetViews>
    <sheetView tabSelected="1" topLeftCell="C1" zoomScale="67" zoomScaleNormal="67" workbookViewId="0">
      <selection activeCell="B20" sqref="B20"/>
    </sheetView>
  </sheetViews>
  <sheetFormatPr baseColWidth="10" defaultRowHeight="16" x14ac:dyDescent="0.2"/>
  <cols>
    <col min="1" max="1" width="43.83203125" customWidth="1"/>
    <col min="2" max="2" width="79.83203125" customWidth="1"/>
    <col min="3" max="3" width="38.5" customWidth="1"/>
    <col min="4" max="4" width="45.5" customWidth="1"/>
    <col min="5" max="6" width="34.5" customWidth="1"/>
    <col min="7" max="7" width="41" customWidth="1"/>
    <col min="8" max="9" width="34.5" customWidth="1"/>
    <col min="10" max="10" width="44.1640625" customWidth="1"/>
    <col min="12" max="12" width="25" customWidth="1"/>
    <col min="13" max="13" width="7.6640625" customWidth="1"/>
  </cols>
  <sheetData>
    <row r="1" spans="1:12" ht="132" customHeight="1" x14ac:dyDescent="0.35">
      <c r="A1" s="4" t="s">
        <v>30</v>
      </c>
      <c r="B1" s="4" t="s">
        <v>31</v>
      </c>
      <c r="C1" s="4" t="s">
        <v>32</v>
      </c>
      <c r="D1" s="4" t="s">
        <v>33</v>
      </c>
      <c r="E1" s="4" t="s">
        <v>0</v>
      </c>
      <c r="F1" s="4" t="s">
        <v>34</v>
      </c>
      <c r="G1" s="4" t="s">
        <v>1</v>
      </c>
      <c r="H1" s="4" t="s">
        <v>49</v>
      </c>
      <c r="I1" s="4" t="s">
        <v>28</v>
      </c>
      <c r="J1" s="16" t="s">
        <v>35</v>
      </c>
      <c r="L1" s="1" t="s">
        <v>36</v>
      </c>
    </row>
    <row r="2" spans="1:12" x14ac:dyDescent="0.2">
      <c r="A2" t="s">
        <v>7</v>
      </c>
      <c r="B2" s="2">
        <v>46177</v>
      </c>
      <c r="C2" s="2" t="s">
        <v>29</v>
      </c>
      <c r="D2" t="s">
        <v>8</v>
      </c>
      <c r="H2" s="3"/>
      <c r="I2" t="s">
        <v>29</v>
      </c>
      <c r="J2">
        <f ca="1">IF(OR(B2="",C2="need to apply",B2&gt;TODAY()),"",TODAY()-B2)</f>
        <v>39</v>
      </c>
      <c r="L2" s="3">
        <f ca="1">TODAY()</f>
        <v>46216</v>
      </c>
    </row>
    <row r="3" spans="1:12" ht="16" customHeight="1" x14ac:dyDescent="0.2">
      <c r="A3" t="s">
        <v>9</v>
      </c>
      <c r="B3" s="2">
        <v>46177</v>
      </c>
      <c r="C3" s="2" t="s">
        <v>29</v>
      </c>
      <c r="D3" t="s">
        <v>8</v>
      </c>
      <c r="H3" s="3"/>
      <c r="I3" t="s">
        <v>29</v>
      </c>
      <c r="J3">
        <f ca="1">IF(OR(B3="",C3="need to apply",B3&gt;TODAY()),"",TODAY()-B3)</f>
        <v>39</v>
      </c>
    </row>
    <row r="4" spans="1:12" ht="16" customHeight="1" x14ac:dyDescent="0.2">
      <c r="A4" t="s">
        <v>15</v>
      </c>
      <c r="B4" s="2">
        <v>46177</v>
      </c>
      <c r="C4" s="2" t="s">
        <v>29</v>
      </c>
      <c r="D4" t="s">
        <v>2</v>
      </c>
      <c r="E4" t="s">
        <v>3</v>
      </c>
      <c r="H4" s="3"/>
      <c r="I4" t="s">
        <v>29</v>
      </c>
      <c r="J4">
        <f ca="1">IF(OR(B4="",C4="need to apply",B4&gt;TODAY()),"",TODAY()-B4)</f>
        <v>39</v>
      </c>
      <c r="L4" s="15" t="s">
        <v>48</v>
      </c>
    </row>
    <row r="5" spans="1:12" ht="15" customHeight="1" x14ac:dyDescent="0.2">
      <c r="A5" t="s">
        <v>18</v>
      </c>
      <c r="B5" s="2">
        <v>46177</v>
      </c>
      <c r="C5" s="2" t="s">
        <v>29</v>
      </c>
      <c r="D5" t="s">
        <v>2</v>
      </c>
      <c r="E5" t="s">
        <v>3</v>
      </c>
      <c r="H5" s="3"/>
      <c r="I5" t="s">
        <v>29</v>
      </c>
      <c r="J5">
        <f ca="1">IF(OR(B5="",C5="need to apply",B5&gt;TODAY()),"",TODAY()-B5)</f>
        <v>39</v>
      </c>
      <c r="L5" s="15"/>
    </row>
    <row r="6" spans="1:12" ht="15" customHeight="1" x14ac:dyDescent="0.2">
      <c r="A6" t="s">
        <v>25</v>
      </c>
      <c r="B6" s="2">
        <v>46177</v>
      </c>
      <c r="C6" s="2" t="s">
        <v>29</v>
      </c>
      <c r="D6" t="s">
        <v>2</v>
      </c>
      <c r="E6" t="s">
        <v>3</v>
      </c>
      <c r="H6" s="3"/>
      <c r="I6" t="s">
        <v>29</v>
      </c>
      <c r="J6">
        <f ca="1">IF(OR(B6="",C6="need to apply",B6&gt;TODAY()),"",TODAY()-B6)</f>
        <v>39</v>
      </c>
      <c r="L6" s="15"/>
    </row>
    <row r="7" spans="1:12" ht="15" customHeight="1" x14ac:dyDescent="0.2">
      <c r="A7" t="s">
        <v>19</v>
      </c>
      <c r="B7" s="2">
        <v>46177</v>
      </c>
      <c r="C7" s="2" t="s">
        <v>29</v>
      </c>
      <c r="D7" t="s">
        <v>2</v>
      </c>
      <c r="E7" t="s">
        <v>3</v>
      </c>
      <c r="H7" s="3"/>
      <c r="I7" t="s">
        <v>29</v>
      </c>
      <c r="J7">
        <f ca="1">IF(OR(B7="",C7="need to apply",B7&gt;TODAY()),"",TODAY()-B7)</f>
        <v>39</v>
      </c>
      <c r="L7" s="15"/>
    </row>
    <row r="8" spans="1:12" ht="15" customHeight="1" x14ac:dyDescent="0.2">
      <c r="A8" t="s">
        <v>20</v>
      </c>
      <c r="B8" s="2">
        <v>46177</v>
      </c>
      <c r="C8" s="2" t="s">
        <v>29</v>
      </c>
      <c r="D8" t="s">
        <v>2</v>
      </c>
      <c r="E8" t="s">
        <v>3</v>
      </c>
      <c r="H8" s="3"/>
      <c r="I8" t="s">
        <v>29</v>
      </c>
      <c r="J8">
        <f ca="1">IF(OR(B8="",C8="need to apply",B8&gt;TODAY()),"",TODAY()-B8)</f>
        <v>39</v>
      </c>
      <c r="L8" s="15"/>
    </row>
    <row r="9" spans="1:12" ht="16" customHeight="1" x14ac:dyDescent="0.2">
      <c r="A9" t="s">
        <v>21</v>
      </c>
      <c r="B9" s="2">
        <v>46177</v>
      </c>
      <c r="C9" s="2" t="s">
        <v>29</v>
      </c>
      <c r="D9" t="s">
        <v>2</v>
      </c>
      <c r="E9" t="s">
        <v>3</v>
      </c>
      <c r="H9" s="3"/>
      <c r="I9" t="s">
        <v>29</v>
      </c>
      <c r="J9">
        <f ca="1">IF(OR(B9="",C9="need to apply",B9&gt;TODAY()),"",TODAY()-B9)</f>
        <v>39</v>
      </c>
      <c r="L9" s="15"/>
    </row>
    <row r="10" spans="1:12" ht="16" customHeight="1" x14ac:dyDescent="0.2">
      <c r="A10" t="s">
        <v>22</v>
      </c>
      <c r="B10" s="2">
        <v>46177</v>
      </c>
      <c r="C10" s="2" t="s">
        <v>29</v>
      </c>
      <c r="D10" t="s">
        <v>2</v>
      </c>
      <c r="E10" t="s">
        <v>3</v>
      </c>
      <c r="H10" s="3"/>
      <c r="I10" t="s">
        <v>29</v>
      </c>
      <c r="J10">
        <f ca="1">IF(OR(B10="",C10="need to apply",B10&gt;TODAY()),"",TODAY()-B10)</f>
        <v>39</v>
      </c>
      <c r="L10" s="15"/>
    </row>
    <row r="11" spans="1:12" ht="17" customHeight="1" x14ac:dyDescent="0.2">
      <c r="A11" t="s">
        <v>10</v>
      </c>
      <c r="B11" s="2">
        <v>46183</v>
      </c>
      <c r="C11" s="2" t="s">
        <v>29</v>
      </c>
      <c r="D11" t="s">
        <v>2</v>
      </c>
      <c r="E11" t="s">
        <v>3</v>
      </c>
      <c r="H11" s="3"/>
      <c r="I11" t="s">
        <v>29</v>
      </c>
      <c r="J11">
        <f ca="1">IF(OR(B11="",C11="need to apply",B11&gt;TODAY()),"",TODAY()-B11)</f>
        <v>33</v>
      </c>
    </row>
    <row r="12" spans="1:12" ht="17" x14ac:dyDescent="0.2">
      <c r="A12" t="s">
        <v>11</v>
      </c>
      <c r="B12" s="2">
        <v>46183</v>
      </c>
      <c r="C12" s="2" t="s">
        <v>29</v>
      </c>
      <c r="D12" t="s">
        <v>8</v>
      </c>
      <c r="H12" s="3"/>
      <c r="I12" t="s">
        <v>29</v>
      </c>
      <c r="J12">
        <f ca="1">IF(OR(B12="",C12="need to apply",B12&gt;TODAY()),"",TODAY()-B12)</f>
        <v>33</v>
      </c>
      <c r="L12" s="17"/>
    </row>
    <row r="13" spans="1:12" x14ac:dyDescent="0.2">
      <c r="A13" t="s">
        <v>23</v>
      </c>
      <c r="B13" s="2">
        <v>46183</v>
      </c>
      <c r="C13" s="2" t="s">
        <v>29</v>
      </c>
      <c r="D13" t="s">
        <v>2</v>
      </c>
      <c r="E13" t="s">
        <v>3</v>
      </c>
      <c r="H13" s="3"/>
      <c r="I13" t="s">
        <v>29</v>
      </c>
      <c r="J13">
        <f ca="1">IF(OR(B13="",C13="need to apply",B13&gt;TODAY()),"",TODAY()-B13)</f>
        <v>33</v>
      </c>
      <c r="L13" s="7"/>
    </row>
    <row r="14" spans="1:12" x14ac:dyDescent="0.2">
      <c r="A14" t="s">
        <v>25</v>
      </c>
      <c r="B14" s="2">
        <v>46184</v>
      </c>
      <c r="C14" s="2" t="s">
        <v>29</v>
      </c>
      <c r="D14" t="s">
        <v>2</v>
      </c>
      <c r="E14" t="s">
        <v>3</v>
      </c>
      <c r="F14" t="s">
        <v>56</v>
      </c>
      <c r="H14" s="3"/>
      <c r="I14" t="s">
        <v>29</v>
      </c>
      <c r="J14">
        <f ca="1">IF(OR(B14="",C14="need to apply",B14&gt;TODAY()),"",TODAY()-B14)</f>
        <v>32</v>
      </c>
      <c r="L14" s="7"/>
    </row>
    <row r="15" spans="1:12" x14ac:dyDescent="0.2">
      <c r="A15" t="s">
        <v>4</v>
      </c>
      <c r="B15" s="2">
        <v>46184</v>
      </c>
      <c r="C15" s="2" t="s">
        <v>29</v>
      </c>
      <c r="D15" t="s">
        <v>2</v>
      </c>
      <c r="E15" t="s">
        <v>3</v>
      </c>
      <c r="H15" s="3">
        <v>46203</v>
      </c>
      <c r="I15" t="s">
        <v>29</v>
      </c>
      <c r="J15">
        <f ca="1">IF(OR(B15="",C15="need to apply",B15&gt;TODAY()),"",TODAY()-B15)</f>
        <v>32</v>
      </c>
      <c r="L15" s="7"/>
    </row>
    <row r="16" spans="1:12" x14ac:dyDescent="0.2">
      <c r="A16" t="s">
        <v>16</v>
      </c>
      <c r="B16" s="2">
        <v>46188</v>
      </c>
      <c r="C16" s="2" t="s">
        <v>29</v>
      </c>
      <c r="D16" t="s">
        <v>2</v>
      </c>
      <c r="E16" t="s">
        <v>3</v>
      </c>
      <c r="H16" s="3"/>
      <c r="I16" t="s">
        <v>29</v>
      </c>
      <c r="J16">
        <f ca="1">IF(OR(B16="",C16="need to apply",B16&gt;TODAY()),"",TODAY()-B16)</f>
        <v>28</v>
      </c>
    </row>
    <row r="17" spans="1:10" x14ac:dyDescent="0.2">
      <c r="A17" t="s">
        <v>24</v>
      </c>
      <c r="B17" s="2">
        <v>46189</v>
      </c>
      <c r="C17" s="2" t="s">
        <v>29</v>
      </c>
      <c r="D17" t="s">
        <v>2</v>
      </c>
      <c r="E17" t="s">
        <v>3</v>
      </c>
      <c r="H17" s="3"/>
      <c r="I17" t="s">
        <v>29</v>
      </c>
      <c r="J17">
        <f ca="1">IF(OR(B17="",C17="need to apply",B17&gt;TODAY()),"",TODAY()-B17)</f>
        <v>27</v>
      </c>
    </row>
    <row r="18" spans="1:10" x14ac:dyDescent="0.2">
      <c r="A18" t="s">
        <v>27</v>
      </c>
      <c r="B18" s="2">
        <v>46190</v>
      </c>
      <c r="C18" s="2" t="s">
        <v>29</v>
      </c>
      <c r="D18" t="s">
        <v>2</v>
      </c>
      <c r="E18" t="s">
        <v>3</v>
      </c>
      <c r="H18" s="3"/>
      <c r="I18" t="s">
        <v>29</v>
      </c>
      <c r="J18">
        <f ca="1">IF(OR(B18="",C18="need to apply",B18&gt;TODAY()),"",TODAY()-B18)</f>
        <v>26</v>
      </c>
    </row>
    <row r="19" spans="1:10" x14ac:dyDescent="0.2">
      <c r="A19" t="s">
        <v>26</v>
      </c>
      <c r="B19" s="2">
        <v>46199</v>
      </c>
      <c r="C19" s="2" t="s">
        <v>29</v>
      </c>
      <c r="D19" t="s">
        <v>2</v>
      </c>
      <c r="E19" t="s">
        <v>3</v>
      </c>
      <c r="H19" s="3"/>
      <c r="I19" t="s">
        <v>29</v>
      </c>
      <c r="J19">
        <f ca="1">IF(OR(B19="",C19="need to apply",B19&gt;TODAY()),"",TODAY()-B19)</f>
        <v>17</v>
      </c>
    </row>
    <row r="20" spans="1:10" x14ac:dyDescent="0.2">
      <c r="A20" t="s">
        <v>17</v>
      </c>
      <c r="B20" s="2">
        <v>46199</v>
      </c>
      <c r="C20" s="2" t="s">
        <v>29</v>
      </c>
      <c r="D20" t="s">
        <v>2</v>
      </c>
      <c r="E20" t="s">
        <v>3</v>
      </c>
      <c r="H20" s="3"/>
      <c r="I20" t="s">
        <v>29</v>
      </c>
      <c r="J20">
        <f ca="1">IF(OR(B20="",C20="need to apply",B20&gt;TODAY()),"",TODAY()-B20)</f>
        <v>17</v>
      </c>
    </row>
    <row r="21" spans="1:10" x14ac:dyDescent="0.2">
      <c r="A21" t="s">
        <v>5</v>
      </c>
      <c r="B21" s="2">
        <v>46204</v>
      </c>
      <c r="C21" s="2" t="s">
        <v>51</v>
      </c>
      <c r="H21" s="3"/>
      <c r="J21" t="str">
        <f ca="1">IF(OR(B21="",C21="need to apply",B21&gt;TODAY()),"",TODAY()-B21)</f>
        <v/>
      </c>
    </row>
    <row r="22" spans="1:10" x14ac:dyDescent="0.2">
      <c r="A22" t="s">
        <v>13</v>
      </c>
      <c r="B22" s="2">
        <v>46209</v>
      </c>
      <c r="C22" s="2" t="s">
        <v>29</v>
      </c>
      <c r="D22" t="s">
        <v>2</v>
      </c>
      <c r="E22" t="s">
        <v>3</v>
      </c>
      <c r="H22" s="3"/>
      <c r="I22" t="s">
        <v>29</v>
      </c>
      <c r="J22">
        <f ca="1">IF(OR(B22="",C22="need to apply",B22&gt;TODAY()),"",TODAY()-B22)</f>
        <v>7</v>
      </c>
    </row>
    <row r="23" spans="1:10" x14ac:dyDescent="0.2">
      <c r="A23" t="s">
        <v>14</v>
      </c>
      <c r="B23" s="2">
        <v>46209</v>
      </c>
      <c r="C23" s="2" t="s">
        <v>52</v>
      </c>
      <c r="D23" t="s">
        <v>2</v>
      </c>
      <c r="E23" t="s">
        <v>3</v>
      </c>
      <c r="H23" s="3">
        <v>46221</v>
      </c>
      <c r="J23">
        <f ca="1">IF(OR(B23="",C23="need to apply",B23&gt;TODAY()),"",TODAY()-B23)</f>
        <v>7</v>
      </c>
    </row>
    <row r="24" spans="1:10" x14ac:dyDescent="0.2">
      <c r="A24" t="s">
        <v>12</v>
      </c>
      <c r="B24" s="2">
        <v>46210</v>
      </c>
      <c r="C24" s="2" t="s">
        <v>29</v>
      </c>
      <c r="D24" t="s">
        <v>2</v>
      </c>
      <c r="E24" t="s">
        <v>3</v>
      </c>
      <c r="H24" s="3"/>
      <c r="I24" t="s">
        <v>29</v>
      </c>
      <c r="J24">
        <f ca="1">IF(OR(B24="",C24="need to apply",B24&gt;TODAY()),"",TODAY()-B24)</f>
        <v>6</v>
      </c>
    </row>
    <row r="25" spans="1:10" x14ac:dyDescent="0.2">
      <c r="A25" t="s">
        <v>6</v>
      </c>
      <c r="B25" s="2">
        <v>46235</v>
      </c>
      <c r="C25" s="2" t="s">
        <v>51</v>
      </c>
      <c r="H25" s="3"/>
      <c r="J25" t="str">
        <f ca="1">IF(OR(B25="",C25="need to apply",B25&gt;TODAY()),"",TODAY()-B25)</f>
        <v/>
      </c>
    </row>
    <row r="26" spans="1:10" x14ac:dyDescent="0.2">
      <c r="B26" s="2"/>
      <c r="C26" s="2"/>
      <c r="H26" s="3"/>
      <c r="J26" t="str">
        <f t="shared" ref="J26:J57" ca="1" si="0">IF(OR(B26="",C26="need to apply",B26&gt;TODAY()),"",TODAY()-B26)</f>
        <v/>
      </c>
    </row>
    <row r="27" spans="1:10" x14ac:dyDescent="0.2">
      <c r="B27" s="2"/>
      <c r="C27" s="2"/>
      <c r="H27" s="3"/>
      <c r="J27" t="str">
        <f t="shared" ca="1" si="0"/>
        <v/>
      </c>
    </row>
    <row r="28" spans="1:10" x14ac:dyDescent="0.2">
      <c r="B28" s="2"/>
      <c r="C28" s="2"/>
      <c r="H28" s="3"/>
      <c r="J28" t="str">
        <f t="shared" ca="1" si="0"/>
        <v/>
      </c>
    </row>
    <row r="29" spans="1:10" x14ac:dyDescent="0.2">
      <c r="B29" s="2"/>
      <c r="C29" s="2"/>
      <c r="H29" s="3"/>
      <c r="J29" t="str">
        <f t="shared" ca="1" si="0"/>
        <v/>
      </c>
    </row>
    <row r="30" spans="1:10" x14ac:dyDescent="0.2">
      <c r="B30" s="2"/>
      <c r="C30" s="2"/>
      <c r="H30" s="3"/>
      <c r="J30" t="str">
        <f t="shared" ca="1" si="0"/>
        <v/>
      </c>
    </row>
    <row r="31" spans="1:10" x14ac:dyDescent="0.2">
      <c r="B31" s="2"/>
      <c r="C31" s="2"/>
      <c r="H31" s="3"/>
      <c r="J31" t="str">
        <f t="shared" ca="1" si="0"/>
        <v/>
      </c>
    </row>
    <row r="32" spans="1:10" x14ac:dyDescent="0.2">
      <c r="B32" s="2"/>
      <c r="C32" s="2"/>
      <c r="D32" s="5"/>
      <c r="H32" s="3"/>
      <c r="J32" t="str">
        <f t="shared" ca="1" si="0"/>
        <v/>
      </c>
    </row>
    <row r="33" spans="2:10" x14ac:dyDescent="0.2">
      <c r="B33" s="2"/>
      <c r="C33" s="2"/>
      <c r="D33" s="5"/>
      <c r="H33" s="3"/>
      <c r="J33" t="str">
        <f t="shared" ca="1" si="0"/>
        <v/>
      </c>
    </row>
    <row r="34" spans="2:10" x14ac:dyDescent="0.2">
      <c r="B34" s="2"/>
      <c r="C34" s="2"/>
      <c r="H34" s="3"/>
      <c r="J34" t="str">
        <f t="shared" ca="1" si="0"/>
        <v/>
      </c>
    </row>
    <row r="35" spans="2:10" x14ac:dyDescent="0.2">
      <c r="B35" s="2"/>
      <c r="C35" s="2"/>
      <c r="D35" s="5"/>
      <c r="H35" s="3"/>
      <c r="J35" t="str">
        <f t="shared" ca="1" si="0"/>
        <v/>
      </c>
    </row>
    <row r="36" spans="2:10" x14ac:dyDescent="0.2">
      <c r="B36" s="2"/>
      <c r="C36" s="2"/>
      <c r="H36" s="3"/>
      <c r="J36" t="str">
        <f t="shared" ca="1" si="0"/>
        <v/>
      </c>
    </row>
    <row r="37" spans="2:10" x14ac:dyDescent="0.2">
      <c r="B37" s="2"/>
      <c r="C37" s="2"/>
      <c r="H37" s="3"/>
      <c r="J37" t="str">
        <f t="shared" ca="1" si="0"/>
        <v/>
      </c>
    </row>
    <row r="38" spans="2:10" x14ac:dyDescent="0.2">
      <c r="B38" s="2"/>
      <c r="C38" s="2"/>
      <c r="H38" s="3"/>
      <c r="J38" t="str">
        <f t="shared" ca="1" si="0"/>
        <v/>
      </c>
    </row>
    <row r="39" spans="2:10" x14ac:dyDescent="0.2">
      <c r="B39" s="2"/>
      <c r="C39" s="2"/>
      <c r="D39" s="5"/>
      <c r="H39" s="3"/>
      <c r="J39" t="str">
        <f t="shared" ca="1" si="0"/>
        <v/>
      </c>
    </row>
    <row r="40" spans="2:10" x14ac:dyDescent="0.2">
      <c r="B40" s="2"/>
      <c r="C40" s="2"/>
      <c r="D40" s="5"/>
      <c r="H40" s="3"/>
      <c r="J40" t="str">
        <f t="shared" ca="1" si="0"/>
        <v/>
      </c>
    </row>
    <row r="41" spans="2:10" x14ac:dyDescent="0.2">
      <c r="B41" s="2"/>
      <c r="C41" s="2"/>
      <c r="H41" s="3"/>
      <c r="J41" t="str">
        <f t="shared" ca="1" si="0"/>
        <v/>
      </c>
    </row>
    <row r="42" spans="2:10" x14ac:dyDescent="0.2">
      <c r="B42" s="2"/>
      <c r="C42" s="2"/>
      <c r="H42" s="3"/>
      <c r="J42" t="str">
        <f t="shared" ca="1" si="0"/>
        <v/>
      </c>
    </row>
    <row r="43" spans="2:10" x14ac:dyDescent="0.2">
      <c r="B43" s="2"/>
      <c r="C43" s="2"/>
      <c r="H43" s="3"/>
      <c r="J43" t="str">
        <f t="shared" ca="1" si="0"/>
        <v/>
      </c>
    </row>
    <row r="44" spans="2:10" x14ac:dyDescent="0.2">
      <c r="B44" s="2"/>
      <c r="C44" s="2"/>
      <c r="H44" s="3"/>
      <c r="J44" t="str">
        <f t="shared" ca="1" si="0"/>
        <v/>
      </c>
    </row>
    <row r="45" spans="2:10" x14ac:dyDescent="0.2">
      <c r="B45" s="2"/>
      <c r="C45" s="2"/>
      <c r="H45" s="3"/>
      <c r="J45" t="str">
        <f t="shared" ca="1" si="0"/>
        <v/>
      </c>
    </row>
    <row r="46" spans="2:10" x14ac:dyDescent="0.2">
      <c r="B46" s="2"/>
      <c r="C46" s="2"/>
      <c r="H46" s="3"/>
      <c r="J46" t="str">
        <f t="shared" ca="1" si="0"/>
        <v/>
      </c>
    </row>
    <row r="47" spans="2:10" x14ac:dyDescent="0.2">
      <c r="B47" s="2"/>
      <c r="C47" s="2"/>
      <c r="H47" s="3"/>
      <c r="J47" t="str">
        <f t="shared" ca="1" si="0"/>
        <v/>
      </c>
    </row>
    <row r="48" spans="2:10" x14ac:dyDescent="0.2">
      <c r="B48" s="2"/>
      <c r="C48" s="2"/>
      <c r="H48" s="3"/>
      <c r="J48" t="str">
        <f t="shared" ca="1" si="0"/>
        <v/>
      </c>
    </row>
    <row r="49" spans="2:10" x14ac:dyDescent="0.2">
      <c r="B49" s="2"/>
      <c r="C49" s="2"/>
      <c r="H49" s="3"/>
      <c r="J49" t="str">
        <f t="shared" ca="1" si="0"/>
        <v/>
      </c>
    </row>
    <row r="50" spans="2:10" x14ac:dyDescent="0.2">
      <c r="B50" s="2"/>
      <c r="C50" s="2"/>
      <c r="H50" s="3"/>
      <c r="J50" t="str">
        <f t="shared" ca="1" si="0"/>
        <v/>
      </c>
    </row>
    <row r="51" spans="2:10" x14ac:dyDescent="0.2">
      <c r="B51" s="2"/>
      <c r="C51" s="2"/>
      <c r="H51" s="3"/>
      <c r="J51" t="str">
        <f t="shared" ca="1" si="0"/>
        <v/>
      </c>
    </row>
    <row r="52" spans="2:10" x14ac:dyDescent="0.2">
      <c r="B52" s="2"/>
      <c r="C52" s="2"/>
      <c r="H52" s="3"/>
      <c r="J52" t="str">
        <f t="shared" ca="1" si="0"/>
        <v/>
      </c>
    </row>
    <row r="53" spans="2:10" x14ac:dyDescent="0.2">
      <c r="B53" s="2"/>
      <c r="C53" s="2"/>
      <c r="H53" s="3"/>
      <c r="J53" t="str">
        <f t="shared" ca="1" si="0"/>
        <v/>
      </c>
    </row>
    <row r="54" spans="2:10" x14ac:dyDescent="0.2">
      <c r="B54" s="2"/>
      <c r="C54" s="2"/>
      <c r="H54" s="3"/>
      <c r="J54" t="str">
        <f t="shared" ca="1" si="0"/>
        <v/>
      </c>
    </row>
    <row r="55" spans="2:10" x14ac:dyDescent="0.2">
      <c r="B55" s="2"/>
      <c r="C55" s="2"/>
      <c r="H55" s="3"/>
      <c r="J55" t="str">
        <f t="shared" ca="1" si="0"/>
        <v/>
      </c>
    </row>
    <row r="56" spans="2:10" x14ac:dyDescent="0.2">
      <c r="B56" s="2"/>
      <c r="C56" s="2"/>
      <c r="H56" s="3"/>
      <c r="J56" t="str">
        <f t="shared" ca="1" si="0"/>
        <v/>
      </c>
    </row>
    <row r="57" spans="2:10" x14ac:dyDescent="0.2">
      <c r="B57" s="2"/>
      <c r="C57" s="2"/>
      <c r="H57" s="3"/>
      <c r="J57" t="str">
        <f t="shared" ca="1" si="0"/>
        <v/>
      </c>
    </row>
    <row r="58" spans="2:10" x14ac:dyDescent="0.2">
      <c r="B58" s="2"/>
      <c r="C58" s="2"/>
      <c r="H58" s="3"/>
      <c r="J58" t="str">
        <f t="shared" ref="J58:J89" ca="1" si="1">IF(OR(B58="",C58="need to apply",B58&gt;TODAY()),"",TODAY()-B58)</f>
        <v/>
      </c>
    </row>
    <row r="59" spans="2:10" x14ac:dyDescent="0.2">
      <c r="B59" s="2"/>
      <c r="C59" s="2"/>
      <c r="H59" s="3"/>
      <c r="J59" t="str">
        <f t="shared" ca="1" si="1"/>
        <v/>
      </c>
    </row>
    <row r="60" spans="2:10" x14ac:dyDescent="0.2">
      <c r="B60" s="2"/>
      <c r="C60" s="2"/>
      <c r="H60" s="3"/>
      <c r="J60" t="str">
        <f t="shared" ca="1" si="1"/>
        <v/>
      </c>
    </row>
    <row r="61" spans="2:10" x14ac:dyDescent="0.2">
      <c r="B61" s="2"/>
      <c r="C61" s="2"/>
      <c r="H61" s="3"/>
      <c r="J61" t="str">
        <f t="shared" ca="1" si="1"/>
        <v/>
      </c>
    </row>
    <row r="62" spans="2:10" x14ac:dyDescent="0.2">
      <c r="B62" s="2"/>
      <c r="C62" s="2"/>
      <c r="H62" s="3"/>
      <c r="J62" t="str">
        <f t="shared" ca="1" si="1"/>
        <v/>
      </c>
    </row>
    <row r="63" spans="2:10" x14ac:dyDescent="0.2">
      <c r="B63" s="2"/>
      <c r="C63" s="2"/>
      <c r="H63" s="3"/>
      <c r="J63" t="str">
        <f t="shared" ca="1" si="1"/>
        <v/>
      </c>
    </row>
    <row r="64" spans="2:10" x14ac:dyDescent="0.2">
      <c r="B64" s="2"/>
      <c r="C64" s="2"/>
      <c r="H64" s="3"/>
      <c r="J64" t="str">
        <f t="shared" ca="1" si="1"/>
        <v/>
      </c>
    </row>
    <row r="65" spans="2:10" x14ac:dyDescent="0.2">
      <c r="B65" s="2"/>
      <c r="C65" s="2"/>
      <c r="H65" s="3"/>
      <c r="J65" t="str">
        <f t="shared" ca="1" si="1"/>
        <v/>
      </c>
    </row>
    <row r="66" spans="2:10" x14ac:dyDescent="0.2">
      <c r="B66" s="2"/>
      <c r="C66" s="2"/>
      <c r="H66" s="3"/>
      <c r="J66" t="str">
        <f t="shared" ca="1" si="1"/>
        <v/>
      </c>
    </row>
    <row r="67" spans="2:10" x14ac:dyDescent="0.2">
      <c r="B67" s="2"/>
      <c r="C67" s="2"/>
      <c r="H67" s="3"/>
      <c r="J67" t="str">
        <f t="shared" ca="1" si="1"/>
        <v/>
      </c>
    </row>
    <row r="68" spans="2:10" x14ac:dyDescent="0.2">
      <c r="B68" s="2"/>
      <c r="C68" s="2"/>
      <c r="H68" s="3"/>
      <c r="J68" t="str">
        <f t="shared" ca="1" si="1"/>
        <v/>
      </c>
    </row>
    <row r="69" spans="2:10" x14ac:dyDescent="0.2">
      <c r="B69" s="2"/>
      <c r="C69" s="2"/>
      <c r="H69" s="3"/>
      <c r="J69" t="str">
        <f t="shared" ca="1" si="1"/>
        <v/>
      </c>
    </row>
    <row r="70" spans="2:10" x14ac:dyDescent="0.2">
      <c r="B70" s="2"/>
      <c r="C70" s="2"/>
      <c r="H70" s="3"/>
      <c r="J70" t="str">
        <f t="shared" ca="1" si="1"/>
        <v/>
      </c>
    </row>
    <row r="71" spans="2:10" x14ac:dyDescent="0.2">
      <c r="B71" s="2"/>
      <c r="C71" s="2"/>
      <c r="H71" s="3"/>
      <c r="J71" t="str">
        <f t="shared" ca="1" si="1"/>
        <v/>
      </c>
    </row>
    <row r="72" spans="2:10" x14ac:dyDescent="0.2">
      <c r="B72" s="2"/>
      <c r="C72" s="2"/>
      <c r="H72" s="3"/>
      <c r="J72" t="str">
        <f t="shared" ca="1" si="1"/>
        <v/>
      </c>
    </row>
    <row r="73" spans="2:10" x14ac:dyDescent="0.2">
      <c r="B73" s="2"/>
      <c r="C73" s="2"/>
      <c r="H73" s="3"/>
      <c r="J73" t="str">
        <f t="shared" ca="1" si="1"/>
        <v/>
      </c>
    </row>
    <row r="74" spans="2:10" x14ac:dyDescent="0.2">
      <c r="B74" s="2"/>
      <c r="C74" s="2"/>
      <c r="H74" s="3"/>
      <c r="J74" t="str">
        <f t="shared" ca="1" si="1"/>
        <v/>
      </c>
    </row>
    <row r="75" spans="2:10" x14ac:dyDescent="0.2">
      <c r="B75" s="2"/>
      <c r="C75" s="2"/>
      <c r="H75" s="3"/>
      <c r="J75" t="str">
        <f t="shared" ca="1" si="1"/>
        <v/>
      </c>
    </row>
    <row r="76" spans="2:10" x14ac:dyDescent="0.2">
      <c r="B76" s="2"/>
      <c r="C76" s="2"/>
      <c r="H76" s="3"/>
      <c r="J76" t="str">
        <f t="shared" ca="1" si="1"/>
        <v/>
      </c>
    </row>
    <row r="77" spans="2:10" x14ac:dyDescent="0.2">
      <c r="B77" s="2"/>
      <c r="C77" s="2"/>
      <c r="H77" s="3"/>
      <c r="J77" t="str">
        <f t="shared" ca="1" si="1"/>
        <v/>
      </c>
    </row>
    <row r="78" spans="2:10" x14ac:dyDescent="0.2">
      <c r="B78" s="2"/>
      <c r="C78" s="2"/>
      <c r="H78" s="3"/>
      <c r="J78" t="str">
        <f t="shared" ca="1" si="1"/>
        <v/>
      </c>
    </row>
    <row r="79" spans="2:10" x14ac:dyDescent="0.2">
      <c r="B79" s="2"/>
      <c r="C79" s="2"/>
      <c r="H79" s="3"/>
      <c r="J79" t="str">
        <f t="shared" ca="1" si="1"/>
        <v/>
      </c>
    </row>
    <row r="80" spans="2:10" x14ac:dyDescent="0.2">
      <c r="B80" s="2"/>
      <c r="C80" s="2"/>
      <c r="H80" s="3"/>
      <c r="J80" t="str">
        <f t="shared" ca="1" si="1"/>
        <v/>
      </c>
    </row>
    <row r="81" spans="2:10" x14ac:dyDescent="0.2">
      <c r="B81" s="2"/>
      <c r="C81" s="2"/>
      <c r="H81" s="3"/>
      <c r="J81" t="str">
        <f t="shared" ca="1" si="1"/>
        <v/>
      </c>
    </row>
    <row r="82" spans="2:10" x14ac:dyDescent="0.2">
      <c r="B82" s="2"/>
      <c r="C82" s="2"/>
      <c r="H82" s="3"/>
      <c r="J82" t="str">
        <f t="shared" ca="1" si="1"/>
        <v/>
      </c>
    </row>
    <row r="83" spans="2:10" x14ac:dyDescent="0.2">
      <c r="B83" s="2"/>
      <c r="C83" s="2"/>
      <c r="H83" s="3"/>
      <c r="J83" t="str">
        <f t="shared" ca="1" si="1"/>
        <v/>
      </c>
    </row>
    <row r="84" spans="2:10" x14ac:dyDescent="0.2">
      <c r="B84" s="2"/>
      <c r="C84" s="2"/>
      <c r="H84" s="3"/>
      <c r="J84" t="str">
        <f t="shared" ca="1" si="1"/>
        <v/>
      </c>
    </row>
    <row r="85" spans="2:10" x14ac:dyDescent="0.2">
      <c r="B85" s="2"/>
      <c r="C85" s="2"/>
      <c r="H85" s="3"/>
      <c r="J85" t="str">
        <f t="shared" ca="1" si="1"/>
        <v/>
      </c>
    </row>
    <row r="86" spans="2:10" x14ac:dyDescent="0.2">
      <c r="B86" s="2"/>
      <c r="C86" s="2"/>
      <c r="H86" s="3"/>
      <c r="J86" t="str">
        <f t="shared" ca="1" si="1"/>
        <v/>
      </c>
    </row>
    <row r="87" spans="2:10" x14ac:dyDescent="0.2">
      <c r="B87" s="2"/>
      <c r="C87" s="2"/>
      <c r="H87" s="3"/>
      <c r="J87" t="str">
        <f t="shared" ca="1" si="1"/>
        <v/>
      </c>
    </row>
    <row r="88" spans="2:10" x14ac:dyDescent="0.2">
      <c r="B88" s="2"/>
      <c r="C88" s="2"/>
      <c r="H88" s="3"/>
      <c r="J88" t="str">
        <f t="shared" ca="1" si="1"/>
        <v/>
      </c>
    </row>
    <row r="89" spans="2:10" x14ac:dyDescent="0.2">
      <c r="B89" s="2"/>
      <c r="C89" s="2"/>
      <c r="H89" s="3"/>
      <c r="J89" t="str">
        <f t="shared" ca="1" si="1"/>
        <v/>
      </c>
    </row>
    <row r="90" spans="2:10" x14ac:dyDescent="0.2">
      <c r="B90" s="2"/>
      <c r="C90" s="2"/>
      <c r="H90" s="3"/>
      <c r="J90" t="str">
        <f t="shared" ref="J90:J121" ca="1" si="2">IF(OR(B90="",C90="need to apply",B90&gt;TODAY()),"",TODAY()-B90)</f>
        <v/>
      </c>
    </row>
    <row r="91" spans="2:10" x14ac:dyDescent="0.2">
      <c r="B91" s="2"/>
      <c r="C91" s="2"/>
      <c r="H91" s="3"/>
      <c r="J91" t="str">
        <f t="shared" ca="1" si="2"/>
        <v/>
      </c>
    </row>
    <row r="92" spans="2:10" x14ac:dyDescent="0.2">
      <c r="B92" s="2"/>
      <c r="C92" s="2"/>
      <c r="H92" s="3"/>
      <c r="J92" t="str">
        <f t="shared" ca="1" si="2"/>
        <v/>
      </c>
    </row>
    <row r="93" spans="2:10" x14ac:dyDescent="0.2">
      <c r="B93" s="2"/>
      <c r="C93" s="2"/>
      <c r="H93" s="3"/>
      <c r="J93" t="str">
        <f t="shared" ca="1" si="2"/>
        <v/>
      </c>
    </row>
    <row r="94" spans="2:10" x14ac:dyDescent="0.2">
      <c r="B94" s="2"/>
      <c r="C94" s="2"/>
      <c r="H94" s="3"/>
      <c r="J94" t="str">
        <f t="shared" ca="1" si="2"/>
        <v/>
      </c>
    </row>
    <row r="95" spans="2:10" x14ac:dyDescent="0.2">
      <c r="B95" s="2"/>
      <c r="C95" s="2"/>
      <c r="H95" s="3"/>
      <c r="J95" t="str">
        <f t="shared" ca="1" si="2"/>
        <v/>
      </c>
    </row>
    <row r="96" spans="2:10" x14ac:dyDescent="0.2">
      <c r="B96" s="2"/>
      <c r="C96" s="2"/>
      <c r="H96" s="3"/>
      <c r="J96" t="str">
        <f t="shared" ca="1" si="2"/>
        <v/>
      </c>
    </row>
    <row r="97" spans="2:10" x14ac:dyDescent="0.2">
      <c r="B97" s="2"/>
      <c r="C97" s="2"/>
      <c r="H97" s="3"/>
      <c r="J97" t="str">
        <f t="shared" ca="1" si="2"/>
        <v/>
      </c>
    </row>
    <row r="98" spans="2:10" x14ac:dyDescent="0.2">
      <c r="B98" s="2"/>
      <c r="C98" s="2"/>
      <c r="H98" s="3"/>
      <c r="J98" t="str">
        <f t="shared" ca="1" si="2"/>
        <v/>
      </c>
    </row>
    <row r="99" spans="2:10" x14ac:dyDescent="0.2">
      <c r="B99" s="2"/>
      <c r="C99" s="2"/>
      <c r="H99" s="3"/>
      <c r="J99" t="str">
        <f t="shared" ca="1" si="2"/>
        <v/>
      </c>
    </row>
    <row r="100" spans="2:10" x14ac:dyDescent="0.2">
      <c r="B100" s="2"/>
      <c r="C100" s="2"/>
      <c r="H100" s="3"/>
      <c r="J100" t="str">
        <f t="shared" ca="1" si="2"/>
        <v/>
      </c>
    </row>
    <row r="101" spans="2:10" x14ac:dyDescent="0.2">
      <c r="B101" s="2"/>
      <c r="C101" s="2"/>
      <c r="H101" s="3"/>
      <c r="J101" t="str">
        <f t="shared" ca="1" si="2"/>
        <v/>
      </c>
    </row>
    <row r="102" spans="2:10" x14ac:dyDescent="0.2">
      <c r="B102" s="2"/>
      <c r="C102" s="2"/>
      <c r="H102" s="3"/>
      <c r="J102" t="str">
        <f t="shared" ca="1" si="2"/>
        <v/>
      </c>
    </row>
    <row r="103" spans="2:10" x14ac:dyDescent="0.2">
      <c r="B103" s="2"/>
      <c r="C103" s="2"/>
      <c r="H103" s="3"/>
      <c r="J103" t="str">
        <f t="shared" ca="1" si="2"/>
        <v/>
      </c>
    </row>
    <row r="104" spans="2:10" x14ac:dyDescent="0.2">
      <c r="B104" s="2"/>
      <c r="C104" s="2"/>
      <c r="H104" s="3"/>
      <c r="J104" t="str">
        <f t="shared" ca="1" si="2"/>
        <v/>
      </c>
    </row>
    <row r="105" spans="2:10" x14ac:dyDescent="0.2">
      <c r="B105" s="2"/>
      <c r="C105" s="2"/>
      <c r="H105" s="3"/>
      <c r="J105" t="str">
        <f t="shared" ca="1" si="2"/>
        <v/>
      </c>
    </row>
    <row r="106" spans="2:10" x14ac:dyDescent="0.2">
      <c r="B106" s="2"/>
      <c r="C106" s="2"/>
      <c r="H106" s="3"/>
      <c r="J106" t="str">
        <f t="shared" ca="1" si="2"/>
        <v/>
      </c>
    </row>
    <row r="107" spans="2:10" x14ac:dyDescent="0.2">
      <c r="B107" s="2"/>
      <c r="C107" s="2"/>
      <c r="H107" s="3"/>
      <c r="J107" t="str">
        <f t="shared" ca="1" si="2"/>
        <v/>
      </c>
    </row>
    <row r="108" spans="2:10" x14ac:dyDescent="0.2">
      <c r="B108" s="2"/>
      <c r="C108" s="2"/>
      <c r="H108" s="3"/>
      <c r="J108" t="str">
        <f t="shared" ca="1" si="2"/>
        <v/>
      </c>
    </row>
    <row r="109" spans="2:10" x14ac:dyDescent="0.2">
      <c r="B109" s="2"/>
      <c r="C109" s="2"/>
      <c r="H109" s="3"/>
      <c r="J109" t="str">
        <f t="shared" ca="1" si="2"/>
        <v/>
      </c>
    </row>
    <row r="110" spans="2:10" x14ac:dyDescent="0.2">
      <c r="B110" s="2"/>
      <c r="C110" s="2"/>
      <c r="H110" s="3"/>
      <c r="J110" t="str">
        <f t="shared" ca="1" si="2"/>
        <v/>
      </c>
    </row>
    <row r="111" spans="2:10" x14ac:dyDescent="0.2">
      <c r="B111" s="2"/>
      <c r="C111" s="2"/>
      <c r="H111" s="3"/>
      <c r="J111" t="str">
        <f t="shared" ca="1" si="2"/>
        <v/>
      </c>
    </row>
    <row r="112" spans="2:10" x14ac:dyDescent="0.2">
      <c r="B112" s="2"/>
      <c r="C112" s="2"/>
      <c r="H112" s="3"/>
      <c r="J112" t="str">
        <f t="shared" ca="1" si="2"/>
        <v/>
      </c>
    </row>
    <row r="113" spans="2:10" x14ac:dyDescent="0.2">
      <c r="B113" s="2"/>
      <c r="C113" s="2"/>
      <c r="H113" s="3"/>
      <c r="J113" t="str">
        <f t="shared" ca="1" si="2"/>
        <v/>
      </c>
    </row>
    <row r="114" spans="2:10" x14ac:dyDescent="0.2">
      <c r="B114" s="2"/>
      <c r="C114" s="2"/>
      <c r="H114" s="3"/>
      <c r="J114" t="str">
        <f t="shared" ca="1" si="2"/>
        <v/>
      </c>
    </row>
    <row r="115" spans="2:10" x14ac:dyDescent="0.2">
      <c r="B115" s="2"/>
      <c r="C115" s="2"/>
      <c r="H115" s="3"/>
      <c r="J115" t="str">
        <f t="shared" ca="1" si="2"/>
        <v/>
      </c>
    </row>
    <row r="116" spans="2:10" x14ac:dyDescent="0.2">
      <c r="B116" s="2"/>
      <c r="C116" s="2"/>
      <c r="H116" s="3"/>
      <c r="J116" t="str">
        <f t="shared" ca="1" si="2"/>
        <v/>
      </c>
    </row>
    <row r="117" spans="2:10" x14ac:dyDescent="0.2">
      <c r="B117" s="2"/>
      <c r="C117" s="2"/>
      <c r="H117" s="3"/>
      <c r="J117" t="str">
        <f t="shared" ca="1" si="2"/>
        <v/>
      </c>
    </row>
    <row r="118" spans="2:10" x14ac:dyDescent="0.2">
      <c r="B118" s="2"/>
      <c r="C118" s="2"/>
      <c r="H118" s="3"/>
      <c r="J118" t="str">
        <f t="shared" ca="1" si="2"/>
        <v/>
      </c>
    </row>
    <row r="119" spans="2:10" x14ac:dyDescent="0.2">
      <c r="B119" s="2"/>
      <c r="C119" s="2"/>
      <c r="H119" s="3"/>
      <c r="J119" t="str">
        <f t="shared" ca="1" si="2"/>
        <v/>
      </c>
    </row>
    <row r="120" spans="2:10" x14ac:dyDescent="0.2">
      <c r="B120" s="2"/>
      <c r="C120" s="2"/>
      <c r="H120" s="3"/>
      <c r="J120" t="str">
        <f t="shared" ca="1" si="2"/>
        <v/>
      </c>
    </row>
    <row r="121" spans="2:10" x14ac:dyDescent="0.2">
      <c r="B121" s="2"/>
      <c r="C121" s="2"/>
      <c r="H121" s="3"/>
      <c r="J121" t="str">
        <f t="shared" ca="1" si="2"/>
        <v/>
      </c>
    </row>
    <row r="122" spans="2:10" x14ac:dyDescent="0.2">
      <c r="B122" s="2"/>
      <c r="C122" s="2"/>
      <c r="H122" s="3"/>
      <c r="J122" t="str">
        <f t="shared" ref="J122:J153" ca="1" si="3">IF(OR(B122="",C122="need to apply",B122&gt;TODAY()),"",TODAY()-B122)</f>
        <v/>
      </c>
    </row>
    <row r="123" spans="2:10" x14ac:dyDescent="0.2">
      <c r="B123" s="2"/>
      <c r="C123" s="2"/>
      <c r="H123" s="3"/>
      <c r="J123" t="str">
        <f t="shared" ca="1" si="3"/>
        <v/>
      </c>
    </row>
    <row r="124" spans="2:10" x14ac:dyDescent="0.2">
      <c r="B124" s="2"/>
      <c r="C124" s="2"/>
      <c r="H124" s="3"/>
      <c r="J124" t="str">
        <f t="shared" ca="1" si="3"/>
        <v/>
      </c>
    </row>
    <row r="125" spans="2:10" x14ac:dyDescent="0.2">
      <c r="B125" s="2"/>
      <c r="C125" s="2"/>
      <c r="H125" s="3"/>
      <c r="J125" t="str">
        <f t="shared" ca="1" si="3"/>
        <v/>
      </c>
    </row>
    <row r="126" spans="2:10" x14ac:dyDescent="0.2">
      <c r="B126" s="2"/>
      <c r="C126" s="2"/>
      <c r="H126" s="3"/>
      <c r="J126" t="str">
        <f t="shared" ca="1" si="3"/>
        <v/>
      </c>
    </row>
    <row r="127" spans="2:10" x14ac:dyDescent="0.2">
      <c r="B127" s="2"/>
      <c r="C127" s="2"/>
      <c r="H127" s="3"/>
      <c r="J127" t="str">
        <f t="shared" ca="1" si="3"/>
        <v/>
      </c>
    </row>
    <row r="128" spans="2:10" x14ac:dyDescent="0.2">
      <c r="B128" s="2"/>
      <c r="C128" s="2"/>
      <c r="H128" s="3"/>
      <c r="J128" t="str">
        <f t="shared" ca="1" si="3"/>
        <v/>
      </c>
    </row>
    <row r="129" spans="2:10" x14ac:dyDescent="0.2">
      <c r="B129" s="2"/>
      <c r="C129" s="2"/>
      <c r="H129" s="3"/>
      <c r="J129" t="str">
        <f t="shared" ca="1" si="3"/>
        <v/>
      </c>
    </row>
    <row r="130" spans="2:10" x14ac:dyDescent="0.2">
      <c r="B130" s="2"/>
      <c r="C130" s="2"/>
      <c r="H130" s="3"/>
      <c r="J130" t="str">
        <f t="shared" ca="1" si="3"/>
        <v/>
      </c>
    </row>
    <row r="131" spans="2:10" x14ac:dyDescent="0.2">
      <c r="B131" s="2"/>
      <c r="C131" s="2"/>
      <c r="H131" s="3"/>
      <c r="J131" t="str">
        <f t="shared" ca="1" si="3"/>
        <v/>
      </c>
    </row>
    <row r="132" spans="2:10" x14ac:dyDescent="0.2">
      <c r="B132" s="2"/>
      <c r="C132" s="2"/>
      <c r="H132" s="3"/>
      <c r="J132" t="str">
        <f t="shared" ca="1" si="3"/>
        <v/>
      </c>
    </row>
    <row r="133" spans="2:10" x14ac:dyDescent="0.2">
      <c r="B133" s="2"/>
      <c r="C133" s="2"/>
      <c r="H133" s="3"/>
      <c r="J133" t="str">
        <f t="shared" ca="1" si="3"/>
        <v/>
      </c>
    </row>
    <row r="134" spans="2:10" x14ac:dyDescent="0.2">
      <c r="B134" s="2"/>
      <c r="C134" s="2"/>
      <c r="H134" s="3"/>
      <c r="J134" t="str">
        <f t="shared" ca="1" si="3"/>
        <v/>
      </c>
    </row>
    <row r="135" spans="2:10" x14ac:dyDescent="0.2">
      <c r="B135" s="2"/>
      <c r="C135" s="2"/>
      <c r="H135" s="3"/>
      <c r="J135" t="str">
        <f t="shared" ca="1" si="3"/>
        <v/>
      </c>
    </row>
    <row r="136" spans="2:10" x14ac:dyDescent="0.2">
      <c r="B136" s="2"/>
      <c r="C136" s="2"/>
      <c r="H136" s="3"/>
      <c r="J136" t="str">
        <f t="shared" ca="1" si="3"/>
        <v/>
      </c>
    </row>
    <row r="137" spans="2:10" x14ac:dyDescent="0.2">
      <c r="B137" s="2"/>
      <c r="C137" s="2"/>
      <c r="H137" s="3"/>
      <c r="J137" t="str">
        <f t="shared" ca="1" si="3"/>
        <v/>
      </c>
    </row>
    <row r="138" spans="2:10" x14ac:dyDescent="0.2">
      <c r="B138" s="2"/>
      <c r="C138" s="2"/>
      <c r="H138" s="3"/>
      <c r="J138" t="str">
        <f t="shared" ca="1" si="3"/>
        <v/>
      </c>
    </row>
    <row r="139" spans="2:10" x14ac:dyDescent="0.2">
      <c r="B139" s="2"/>
      <c r="C139" s="2"/>
      <c r="H139" s="3"/>
      <c r="J139" t="str">
        <f t="shared" ca="1" si="3"/>
        <v/>
      </c>
    </row>
    <row r="140" spans="2:10" x14ac:dyDescent="0.2">
      <c r="B140" s="2"/>
      <c r="C140" s="2"/>
      <c r="H140" s="3"/>
      <c r="J140" t="str">
        <f t="shared" ca="1" si="3"/>
        <v/>
      </c>
    </row>
    <row r="141" spans="2:10" x14ac:dyDescent="0.2">
      <c r="B141" s="2"/>
      <c r="C141" s="2"/>
      <c r="H141" s="3"/>
      <c r="J141" t="str">
        <f t="shared" ca="1" si="3"/>
        <v/>
      </c>
    </row>
    <row r="142" spans="2:10" x14ac:dyDescent="0.2">
      <c r="B142" s="2"/>
      <c r="C142" s="2"/>
      <c r="H142" s="3"/>
      <c r="J142" t="str">
        <f t="shared" ca="1" si="3"/>
        <v/>
      </c>
    </row>
    <row r="143" spans="2:10" x14ac:dyDescent="0.2">
      <c r="B143" s="2"/>
      <c r="C143" s="2"/>
      <c r="H143" s="3"/>
      <c r="J143" t="str">
        <f t="shared" ca="1" si="3"/>
        <v/>
      </c>
    </row>
    <row r="144" spans="2:10" x14ac:dyDescent="0.2">
      <c r="B144" s="2"/>
      <c r="C144" s="2"/>
      <c r="H144" s="3"/>
      <c r="J144" t="str">
        <f t="shared" ca="1" si="3"/>
        <v/>
      </c>
    </row>
    <row r="145" spans="2:10" x14ac:dyDescent="0.2">
      <c r="B145" s="2"/>
      <c r="C145" s="2"/>
      <c r="H145" s="3"/>
      <c r="J145" t="str">
        <f t="shared" ca="1" si="3"/>
        <v/>
      </c>
    </row>
    <row r="146" spans="2:10" x14ac:dyDescent="0.2">
      <c r="B146" s="2"/>
      <c r="C146" s="2"/>
      <c r="H146" s="3"/>
      <c r="J146" t="str">
        <f t="shared" ca="1" si="3"/>
        <v/>
      </c>
    </row>
    <row r="147" spans="2:10" x14ac:dyDescent="0.2">
      <c r="B147" s="2"/>
      <c r="C147" s="2"/>
      <c r="H147" s="3"/>
      <c r="J147" t="str">
        <f t="shared" ca="1" si="3"/>
        <v/>
      </c>
    </row>
    <row r="148" spans="2:10" x14ac:dyDescent="0.2">
      <c r="B148" s="2"/>
      <c r="C148" s="2"/>
      <c r="H148" s="3"/>
      <c r="J148" t="str">
        <f t="shared" ca="1" si="3"/>
        <v/>
      </c>
    </row>
    <row r="149" spans="2:10" x14ac:dyDescent="0.2">
      <c r="B149" s="2"/>
      <c r="C149" s="2"/>
      <c r="H149" s="3"/>
      <c r="J149" t="str">
        <f t="shared" ca="1" si="3"/>
        <v/>
      </c>
    </row>
    <row r="150" spans="2:10" x14ac:dyDescent="0.2">
      <c r="B150" s="2"/>
      <c r="C150" s="2"/>
      <c r="H150" s="3"/>
      <c r="J150" t="str">
        <f t="shared" ca="1" si="3"/>
        <v/>
      </c>
    </row>
    <row r="151" spans="2:10" x14ac:dyDescent="0.2">
      <c r="B151" s="2"/>
      <c r="C151" s="2"/>
      <c r="H151" s="3"/>
      <c r="J151" t="str">
        <f t="shared" ca="1" si="3"/>
        <v/>
      </c>
    </row>
    <row r="152" spans="2:10" x14ac:dyDescent="0.2">
      <c r="B152" s="2"/>
      <c r="C152" s="2"/>
      <c r="H152" s="3"/>
      <c r="J152" t="str">
        <f t="shared" ca="1" si="3"/>
        <v/>
      </c>
    </row>
    <row r="153" spans="2:10" x14ac:dyDescent="0.2">
      <c r="B153" s="2"/>
      <c r="C153" s="2"/>
      <c r="H153" s="3"/>
      <c r="J153" t="str">
        <f t="shared" ca="1" si="3"/>
        <v/>
      </c>
    </row>
    <row r="154" spans="2:10" x14ac:dyDescent="0.2">
      <c r="B154" s="2"/>
      <c r="C154" s="2"/>
      <c r="H154" s="3"/>
      <c r="J154" t="str">
        <f t="shared" ref="J154:J185" ca="1" si="4">IF(OR(B154="",C154="need to apply",B154&gt;TODAY()),"",TODAY()-B154)</f>
        <v/>
      </c>
    </row>
    <row r="155" spans="2:10" x14ac:dyDescent="0.2">
      <c r="B155" s="2"/>
      <c r="C155" s="2"/>
      <c r="H155" s="3"/>
      <c r="J155" t="str">
        <f t="shared" ca="1" si="4"/>
        <v/>
      </c>
    </row>
    <row r="156" spans="2:10" x14ac:dyDescent="0.2">
      <c r="B156" s="2"/>
      <c r="C156" s="2"/>
      <c r="H156" s="3"/>
      <c r="J156" t="str">
        <f t="shared" ca="1" si="4"/>
        <v/>
      </c>
    </row>
    <row r="157" spans="2:10" x14ac:dyDescent="0.2">
      <c r="B157" s="2"/>
      <c r="C157" s="2"/>
      <c r="H157" s="3"/>
      <c r="J157" t="str">
        <f t="shared" ca="1" si="4"/>
        <v/>
      </c>
    </row>
    <row r="158" spans="2:10" x14ac:dyDescent="0.2">
      <c r="B158" s="2"/>
      <c r="C158" s="2"/>
      <c r="H158" s="3"/>
      <c r="J158" t="str">
        <f t="shared" ca="1" si="4"/>
        <v/>
      </c>
    </row>
    <row r="159" spans="2:10" x14ac:dyDescent="0.2">
      <c r="B159" s="2"/>
      <c r="C159" s="2"/>
      <c r="H159" s="3"/>
      <c r="J159" t="str">
        <f t="shared" ca="1" si="4"/>
        <v/>
      </c>
    </row>
    <row r="160" spans="2:10" x14ac:dyDescent="0.2">
      <c r="B160" s="2"/>
      <c r="C160" s="2"/>
      <c r="H160" s="3"/>
      <c r="J160" t="str">
        <f t="shared" ca="1" si="4"/>
        <v/>
      </c>
    </row>
    <row r="161" spans="2:10" x14ac:dyDescent="0.2">
      <c r="B161" s="2"/>
      <c r="C161" s="2"/>
      <c r="H161" s="3"/>
      <c r="J161" t="str">
        <f t="shared" ca="1" si="4"/>
        <v/>
      </c>
    </row>
    <row r="162" spans="2:10" x14ac:dyDescent="0.2">
      <c r="B162" s="2"/>
      <c r="C162" s="2"/>
      <c r="H162" s="3"/>
      <c r="J162" t="str">
        <f t="shared" ca="1" si="4"/>
        <v/>
      </c>
    </row>
    <row r="163" spans="2:10" x14ac:dyDescent="0.2">
      <c r="B163" s="2"/>
      <c r="C163" s="2"/>
      <c r="H163" s="3"/>
      <c r="J163" t="str">
        <f t="shared" ca="1" si="4"/>
        <v/>
      </c>
    </row>
    <row r="164" spans="2:10" x14ac:dyDescent="0.2">
      <c r="B164" s="2"/>
      <c r="C164" s="2"/>
      <c r="H164" s="3"/>
      <c r="J164" t="str">
        <f t="shared" ca="1" si="4"/>
        <v/>
      </c>
    </row>
    <row r="165" spans="2:10" x14ac:dyDescent="0.2">
      <c r="B165" s="2"/>
      <c r="C165" s="2"/>
      <c r="H165" s="3"/>
      <c r="J165" t="str">
        <f t="shared" ca="1" si="4"/>
        <v/>
      </c>
    </row>
    <row r="166" spans="2:10" x14ac:dyDescent="0.2">
      <c r="B166" s="2"/>
      <c r="C166" s="2"/>
      <c r="H166" s="3"/>
      <c r="J166" t="str">
        <f t="shared" ca="1" si="4"/>
        <v/>
      </c>
    </row>
    <row r="167" spans="2:10" x14ac:dyDescent="0.2">
      <c r="B167" s="2"/>
      <c r="C167" s="2"/>
      <c r="H167" s="3"/>
      <c r="J167" t="str">
        <f t="shared" ca="1" si="4"/>
        <v/>
      </c>
    </row>
    <row r="168" spans="2:10" x14ac:dyDescent="0.2">
      <c r="B168" s="2"/>
      <c r="C168" s="2"/>
      <c r="H168" s="3"/>
      <c r="J168" t="str">
        <f t="shared" ca="1" si="4"/>
        <v/>
      </c>
    </row>
    <row r="169" spans="2:10" x14ac:dyDescent="0.2">
      <c r="B169" s="2"/>
      <c r="C169" s="2"/>
      <c r="H169" s="3"/>
      <c r="J169" t="str">
        <f t="shared" ca="1" si="4"/>
        <v/>
      </c>
    </row>
    <row r="170" spans="2:10" x14ac:dyDescent="0.2">
      <c r="B170" s="2"/>
      <c r="C170" s="2"/>
      <c r="H170" s="3"/>
      <c r="J170" t="str">
        <f t="shared" ca="1" si="4"/>
        <v/>
      </c>
    </row>
    <row r="171" spans="2:10" x14ac:dyDescent="0.2">
      <c r="B171" s="2"/>
      <c r="C171" s="2"/>
      <c r="H171" s="3"/>
      <c r="J171" t="str">
        <f t="shared" ca="1" si="4"/>
        <v/>
      </c>
    </row>
    <row r="172" spans="2:10" x14ac:dyDescent="0.2">
      <c r="B172" s="2"/>
      <c r="C172" s="2"/>
      <c r="H172" s="3"/>
      <c r="J172" t="str">
        <f t="shared" ca="1" si="4"/>
        <v/>
      </c>
    </row>
    <row r="173" spans="2:10" x14ac:dyDescent="0.2">
      <c r="B173" s="2"/>
      <c r="C173" s="2"/>
      <c r="H173" s="3"/>
      <c r="J173" t="str">
        <f t="shared" ca="1" si="4"/>
        <v/>
      </c>
    </row>
    <row r="174" spans="2:10" x14ac:dyDescent="0.2">
      <c r="B174" s="2"/>
      <c r="C174" s="2"/>
      <c r="H174" s="3"/>
      <c r="J174" t="str">
        <f t="shared" ca="1" si="4"/>
        <v/>
      </c>
    </row>
    <row r="175" spans="2:10" x14ac:dyDescent="0.2">
      <c r="B175" s="2"/>
      <c r="C175" s="2"/>
      <c r="H175" s="3"/>
      <c r="J175" t="str">
        <f t="shared" ca="1" si="4"/>
        <v/>
      </c>
    </row>
    <row r="176" spans="2:10" x14ac:dyDescent="0.2">
      <c r="B176" s="2"/>
      <c r="C176" s="2"/>
      <c r="H176" s="3"/>
      <c r="J176" t="str">
        <f t="shared" ca="1" si="4"/>
        <v/>
      </c>
    </row>
    <row r="177" spans="2:10" x14ac:dyDescent="0.2">
      <c r="B177" s="2"/>
      <c r="C177" s="2"/>
      <c r="H177" s="3"/>
      <c r="J177" t="str">
        <f t="shared" ca="1" si="4"/>
        <v/>
      </c>
    </row>
    <row r="178" spans="2:10" x14ac:dyDescent="0.2">
      <c r="B178" s="2"/>
      <c r="C178" s="2"/>
      <c r="H178" s="3"/>
      <c r="J178" t="str">
        <f t="shared" ca="1" si="4"/>
        <v/>
      </c>
    </row>
    <row r="179" spans="2:10" x14ac:dyDescent="0.2">
      <c r="B179" s="2"/>
      <c r="C179" s="2"/>
      <c r="H179" s="3"/>
      <c r="J179" t="str">
        <f t="shared" ca="1" si="4"/>
        <v/>
      </c>
    </row>
    <row r="180" spans="2:10" x14ac:dyDescent="0.2">
      <c r="B180" s="2"/>
      <c r="C180" s="2"/>
      <c r="H180" s="3"/>
      <c r="J180" t="str">
        <f t="shared" ca="1" si="4"/>
        <v/>
      </c>
    </row>
    <row r="181" spans="2:10" x14ac:dyDescent="0.2">
      <c r="B181" s="2"/>
      <c r="C181" s="2"/>
      <c r="H181" s="3"/>
      <c r="J181" t="str">
        <f t="shared" ca="1" si="4"/>
        <v/>
      </c>
    </row>
    <row r="182" spans="2:10" x14ac:dyDescent="0.2">
      <c r="B182" s="2"/>
      <c r="C182" s="2"/>
      <c r="H182" s="3"/>
      <c r="J182" t="str">
        <f t="shared" ca="1" si="4"/>
        <v/>
      </c>
    </row>
    <row r="183" spans="2:10" x14ac:dyDescent="0.2">
      <c r="B183" s="2"/>
      <c r="C183" s="2"/>
      <c r="H183" s="3"/>
      <c r="J183" t="str">
        <f t="shared" ca="1" si="4"/>
        <v/>
      </c>
    </row>
    <row r="184" spans="2:10" x14ac:dyDescent="0.2">
      <c r="B184" s="2"/>
      <c r="C184" s="2"/>
      <c r="H184" s="3"/>
      <c r="J184" t="str">
        <f t="shared" ca="1" si="4"/>
        <v/>
      </c>
    </row>
    <row r="185" spans="2:10" x14ac:dyDescent="0.2">
      <c r="B185" s="2"/>
      <c r="C185" s="2"/>
      <c r="H185" s="3"/>
      <c r="J185" t="str">
        <f t="shared" ca="1" si="4"/>
        <v/>
      </c>
    </row>
    <row r="186" spans="2:10" x14ac:dyDescent="0.2">
      <c r="B186" s="2"/>
      <c r="C186" s="2"/>
      <c r="H186" s="3"/>
      <c r="J186" t="str">
        <f t="shared" ref="J186:J199" ca="1" si="5">IF(OR(B186="",C186="need to apply",B186&gt;TODAY()),"",TODAY()-B186)</f>
        <v/>
      </c>
    </row>
    <row r="187" spans="2:10" x14ac:dyDescent="0.2">
      <c r="B187" s="2"/>
      <c r="C187" s="2"/>
      <c r="H187" s="3"/>
      <c r="J187" t="str">
        <f t="shared" ca="1" si="5"/>
        <v/>
      </c>
    </row>
    <row r="188" spans="2:10" x14ac:dyDescent="0.2">
      <c r="B188" s="2"/>
      <c r="C188" s="2"/>
      <c r="H188" s="3"/>
      <c r="J188" t="str">
        <f t="shared" ca="1" si="5"/>
        <v/>
      </c>
    </row>
    <row r="189" spans="2:10" x14ac:dyDescent="0.2">
      <c r="B189" s="2"/>
      <c r="C189" s="2"/>
      <c r="H189" s="3"/>
      <c r="J189" t="str">
        <f t="shared" ca="1" si="5"/>
        <v/>
      </c>
    </row>
    <row r="190" spans="2:10" x14ac:dyDescent="0.2">
      <c r="B190" s="2"/>
      <c r="C190" s="2"/>
      <c r="H190" s="3"/>
      <c r="J190" t="str">
        <f t="shared" ca="1" si="5"/>
        <v/>
      </c>
    </row>
    <row r="191" spans="2:10" x14ac:dyDescent="0.2">
      <c r="B191" s="2"/>
      <c r="C191" s="2"/>
      <c r="H191" s="3"/>
      <c r="J191" t="str">
        <f t="shared" ca="1" si="5"/>
        <v/>
      </c>
    </row>
    <row r="192" spans="2:10" x14ac:dyDescent="0.2">
      <c r="B192" s="2"/>
      <c r="C192" s="2"/>
      <c r="H192" s="3"/>
      <c r="J192" t="str">
        <f t="shared" ca="1" si="5"/>
        <v/>
      </c>
    </row>
    <row r="193" spans="2:10" x14ac:dyDescent="0.2">
      <c r="B193" s="2"/>
      <c r="C193" s="2"/>
      <c r="H193" s="3"/>
      <c r="J193" t="str">
        <f t="shared" ca="1" si="5"/>
        <v/>
      </c>
    </row>
    <row r="194" spans="2:10" x14ac:dyDescent="0.2">
      <c r="B194" s="2"/>
      <c r="C194" s="2"/>
      <c r="H194" s="3"/>
      <c r="J194" t="str">
        <f t="shared" ca="1" si="5"/>
        <v/>
      </c>
    </row>
    <row r="195" spans="2:10" x14ac:dyDescent="0.2">
      <c r="B195" s="2"/>
      <c r="C195" s="2"/>
      <c r="H195" s="3"/>
      <c r="J195" t="str">
        <f t="shared" ca="1" si="5"/>
        <v/>
      </c>
    </row>
    <row r="196" spans="2:10" x14ac:dyDescent="0.2">
      <c r="B196" s="2"/>
      <c r="C196" s="2"/>
      <c r="H196" s="3"/>
      <c r="J196" t="str">
        <f t="shared" ca="1" si="5"/>
        <v/>
      </c>
    </row>
    <row r="197" spans="2:10" x14ac:dyDescent="0.2">
      <c r="B197" s="2"/>
      <c r="C197" s="2"/>
      <c r="H197" s="3"/>
      <c r="J197" t="str">
        <f t="shared" ca="1" si="5"/>
        <v/>
      </c>
    </row>
    <row r="198" spans="2:10" x14ac:dyDescent="0.2">
      <c r="B198" s="2"/>
      <c r="C198" s="2"/>
      <c r="H198" s="3"/>
      <c r="J198" t="str">
        <f t="shared" ca="1" si="5"/>
        <v/>
      </c>
    </row>
    <row r="199" spans="2:10" x14ac:dyDescent="0.2">
      <c r="B199" s="2"/>
      <c r="C199" s="2"/>
      <c r="H199" s="3"/>
      <c r="J199" t="str">
        <f t="shared" ca="1" si="5"/>
        <v/>
      </c>
    </row>
  </sheetData>
  <sortState xmlns:xlrd2="http://schemas.microsoft.com/office/spreadsheetml/2017/richdata2" ref="A2:J25">
    <sortCondition ref="B25"/>
  </sortState>
  <mergeCells count="1">
    <mergeCell ref="L4:L10"/>
  </mergeCells>
  <conditionalFormatting sqref="A2:A199">
    <cfRule type="duplicateValues" dxfId="25" priority="17"/>
  </conditionalFormatting>
  <conditionalFormatting sqref="C2:C199">
    <cfRule type="containsText" dxfId="24" priority="2" operator="containsText" text="withdrawn">
      <formula>NOT(ISERROR(SEARCH("withdrawn",C2)))</formula>
    </cfRule>
    <cfRule type="containsText" dxfId="23" priority="3" stopIfTrue="1" operator="containsText" text="rejected">
      <formula>NOT(ISERROR(SEARCH("rejected",C2)))</formula>
    </cfRule>
    <cfRule type="containsText" dxfId="22" priority="4" operator="containsText" text="interview scheduled">
      <formula>NOT(ISERROR(SEARCH("interview scheduled",C2)))</formula>
    </cfRule>
    <cfRule type="containsText" dxfId="21" priority="5" operator="containsText" text="need to apply">
      <formula>NOT(ISERROR(SEARCH("need to apply",C2)))</formula>
    </cfRule>
    <cfRule type="containsText" dxfId="20" priority="6" operator="containsText" text="followed up">
      <formula>NOT(ISERROR(SEARCH("followed up",C2)))</formula>
    </cfRule>
    <cfRule type="containsText" dxfId="19" priority="19" operator="containsText" text="offer">
      <formula>NOT(ISERROR(SEARCH("offer",C2)))</formula>
    </cfRule>
    <cfRule type="containsText" dxfId="18" priority="22" operator="containsText" text="applied">
      <formula>NOT(ISERROR(SEARCH("applied",C2)))</formula>
    </cfRule>
  </conditionalFormatting>
  <conditionalFormatting sqref="E39:F39 E42:F199 E2:F36">
    <cfRule type="expression" dxfId="17" priority="18">
      <formula>AND($D2="Online", E2="", F2="")</formula>
    </cfRule>
    <cfRule type="expression" dxfId="16" priority="23">
      <formula>AND($D2="Both", $E2="", $F2="")</formula>
    </cfRule>
    <cfRule type="expression" dxfId="15" priority="24">
      <formula>OR($D2="In-Person", $D2="In Person")</formula>
    </cfRule>
  </conditionalFormatting>
  <conditionalFormatting sqref="E37:F37 E40:F40">
    <cfRule type="expression" dxfId="14" priority="31">
      <formula>AND(#REF!="Online", E37="", F37="")</formula>
    </cfRule>
    <cfRule type="expression" dxfId="13" priority="32">
      <formula>AND(#REF!="Both", $E37="", $F37="")</formula>
    </cfRule>
    <cfRule type="expression" dxfId="12" priority="33">
      <formula>OR(#REF!="In-Person", #REF!="In Person")</formula>
    </cfRule>
  </conditionalFormatting>
  <conditionalFormatting sqref="E38:F38 E41:F41">
    <cfRule type="expression" dxfId="11" priority="28">
      <formula>AND($D37="Online", E38="", F38="")</formula>
    </cfRule>
    <cfRule type="expression" dxfId="10" priority="29">
      <formula>AND($D37="Both", $E38="", $F38="")</formula>
    </cfRule>
    <cfRule type="expression" dxfId="9" priority="30">
      <formula>OR($D37="In-Person", $D37="In Person")</formula>
    </cfRule>
  </conditionalFormatting>
  <conditionalFormatting sqref="G2:G199">
    <cfRule type="expression" dxfId="8" priority="14">
      <formula>AND($G2="", $H2&lt;&gt;"", $I2&lt;&gt;"")</formula>
    </cfRule>
    <cfRule type="expression" dxfId="7" priority="15" stopIfTrue="1">
      <formula>AND($G2="", $H2&lt;&gt;"", $I2="")</formula>
    </cfRule>
  </conditionalFormatting>
  <conditionalFormatting sqref="G2:H199">
    <cfRule type="expression" dxfId="6" priority="7">
      <formula>AND($G2="", $H2="", $I2="rejected")</formula>
    </cfRule>
  </conditionalFormatting>
  <conditionalFormatting sqref="G2:I199">
    <cfRule type="expression" dxfId="5" priority="21">
      <formula>AND($G2="", $H2="", $I2="")</formula>
    </cfRule>
  </conditionalFormatting>
  <conditionalFormatting sqref="J2:J199">
    <cfRule type="expression" dxfId="4" priority="9">
      <formula>AND($J2&lt;14, $H2&lt;&gt;"")</formula>
    </cfRule>
    <cfRule type="expression" dxfId="3" priority="10">
      <formula>OR($J2&gt;=14, $H2="")</formula>
    </cfRule>
  </conditionalFormatting>
  <conditionalFormatting sqref="B2:B199">
    <cfRule type="expression" dxfId="2" priority="36" stopIfTrue="1">
      <formula>$L$2-$B2&lt;0</formula>
    </cfRule>
  </conditionalFormatting>
  <dataValidations count="1">
    <dataValidation type="list" allowBlank="1" showInputMessage="1" showErrorMessage="1" sqref="C2:C199" xr:uid="{6223CBAB-EB69-8F47-93ED-CC83192506E6}">
      <formula1>"Need to Apply,Applied,Followed Up,Interview Scheduled,Offer,Rejected,Withdrawn"</formula1>
    </dataValidation>
  </dataValidations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81D46-5482-E748-B156-5B96E3CDC1B0}">
  <dimension ref="A1:N28"/>
  <sheetViews>
    <sheetView zoomScaleNormal="100" workbookViewId="0">
      <selection activeCell="B2" sqref="B2"/>
    </sheetView>
  </sheetViews>
  <sheetFormatPr baseColWidth="10" defaultRowHeight="16" x14ac:dyDescent="0.2"/>
  <cols>
    <col min="1" max="1" width="16.6640625" customWidth="1"/>
    <col min="3" max="3" width="15.33203125" customWidth="1"/>
    <col min="4" max="4" width="14" customWidth="1"/>
    <col min="8" max="8" width="12.5" customWidth="1"/>
  </cols>
  <sheetData>
    <row r="1" spans="1:14" x14ac:dyDescent="0.2">
      <c r="A1" t="s">
        <v>47</v>
      </c>
      <c r="B1" t="s">
        <v>29</v>
      </c>
      <c r="C1" t="s">
        <v>50</v>
      </c>
      <c r="D1" t="s">
        <v>37</v>
      </c>
      <c r="E1" t="s">
        <v>2</v>
      </c>
      <c r="F1" t="s">
        <v>8</v>
      </c>
      <c r="G1" t="s">
        <v>38</v>
      </c>
      <c r="H1" t="s">
        <v>58</v>
      </c>
    </row>
    <row r="2" spans="1:14" x14ac:dyDescent="0.2">
      <c r="A2">
        <f>COUNTA('Application Process'!A2:A199)</f>
        <v>24</v>
      </c>
      <c r="B2">
        <f>COUNTIF('Application Process'!C2:C199, "Rejected")</f>
        <v>21</v>
      </c>
      <c r="C2">
        <f>Table1[[#This Row],[Total Applications]]-Table1[[#This Row],[Rejected]]-Table1[[#This Row],[Need To Apply]]</f>
        <v>1</v>
      </c>
      <c r="D2">
        <f>COUNTIF('Application Process'!C2:C199, "need to apply")</f>
        <v>2</v>
      </c>
      <c r="E2">
        <f>COUNTIF('Application Process'!D2:D199, "Online")</f>
        <v>19</v>
      </c>
      <c r="F2">
        <f>COUNTIF('Application Process'!D2:D199, "In-Person")</f>
        <v>3</v>
      </c>
      <c r="G2">
        <f>COUNTIF('Application Process'!G2:G199, "Yes")</f>
        <v>0</v>
      </c>
      <c r="H2">
        <f>COUNTIF('Application Process'!$I$3:$I$200,"&lt;&gt;")</f>
        <v>20</v>
      </c>
    </row>
    <row r="5" spans="1:14" x14ac:dyDescent="0.2">
      <c r="B5" t="s">
        <v>41</v>
      </c>
      <c r="C5" t="s">
        <v>42</v>
      </c>
      <c r="F5" t="s">
        <v>39</v>
      </c>
      <c r="G5" t="s">
        <v>40</v>
      </c>
    </row>
    <row r="6" spans="1:14" x14ac:dyDescent="0.2">
      <c r="A6" t="str" cm="1">
        <f t="array" ref="A6:B13">TRANSPOSE(Table1[[#Headers],[#Data]])</f>
        <v>Total Applications</v>
      </c>
      <c r="B6">
        <v>24</v>
      </c>
      <c r="C6" s="8" t="s">
        <v>43</v>
      </c>
      <c r="F6" s="5">
        <v>46174</v>
      </c>
      <c r="G6">
        <f>COUNTIFS('Application Process'!$B$2:$B$199,"&gt;="&amp;F6,'Application Process'!$B$2:$B$199,"&lt;"&amp;F6+7)</f>
        <v>9</v>
      </c>
    </row>
    <row r="7" spans="1:14" x14ac:dyDescent="0.2">
      <c r="A7" t="str">
        <v>Rejected</v>
      </c>
      <c r="B7">
        <v>21</v>
      </c>
      <c r="C7" s="9">
        <f>B7/COUNTIFS('Application Process'!$C$3:$C$200,"&lt;&gt;Need to Apply",'Application Process'!$A$3:$A$200,"&lt;&gt;")</f>
        <v>1</v>
      </c>
      <c r="F7" s="5">
        <v>46181</v>
      </c>
      <c r="G7">
        <f>COUNTIFS('Application Process'!$B$2:$B$199,"&gt;="&amp;F7,'Application Process'!$B$2:$B$199,"&lt;"&amp;F7+7)</f>
        <v>5</v>
      </c>
    </row>
    <row r="8" spans="1:14" x14ac:dyDescent="0.2">
      <c r="A8" t="str">
        <v>Currently Active</v>
      </c>
      <c r="B8">
        <v>1</v>
      </c>
      <c r="C8" s="9">
        <f>B8/COUNTIFS('Application Process'!$C$3:$C$200,"&lt;&gt;Need to Apply",'Application Process'!$A$3:$A$200,"&lt;&gt;")</f>
        <v>4.7619047619047616E-2</v>
      </c>
      <c r="F8" s="5">
        <v>46188</v>
      </c>
      <c r="G8">
        <f>COUNTIFS('Application Process'!$B$2:$B$199,"&gt;="&amp;F8,'Application Process'!$B$2:$B$199,"&lt;"&amp;F8+7)</f>
        <v>3</v>
      </c>
    </row>
    <row r="9" spans="1:14" x14ac:dyDescent="0.2">
      <c r="A9" t="str">
        <v>Need To Apply</v>
      </c>
      <c r="B9">
        <v>2</v>
      </c>
      <c r="C9" s="9">
        <f>B9/COUNTIFS('Application Process'!$C$3:$C$200,"&lt;&gt;Need to Apply",'Application Process'!$A$3:$A$200,"&lt;&gt;")</f>
        <v>9.5238095238095233E-2</v>
      </c>
      <c r="F9" s="5">
        <v>46195</v>
      </c>
      <c r="G9">
        <f>COUNTIFS('Application Process'!$B$2:$B$199,"&gt;="&amp;F9,'Application Process'!$B$2:$B$199,"&lt;"&amp;F9+7)</f>
        <v>2</v>
      </c>
    </row>
    <row r="10" spans="1:14" x14ac:dyDescent="0.2">
      <c r="A10" t="str">
        <v>Online</v>
      </c>
      <c r="B10">
        <v>19</v>
      </c>
      <c r="C10" s="9">
        <f>B10/(B11+B10)</f>
        <v>0.86363636363636365</v>
      </c>
      <c r="F10" s="5">
        <v>46202</v>
      </c>
      <c r="G10">
        <f>COUNTIFS('Application Process'!$B$2:$B$199,"&gt;="&amp;F10,'Application Process'!$B$2:$B$199,"&lt;"&amp;F10+7)</f>
        <v>1</v>
      </c>
    </row>
    <row r="11" spans="1:14" x14ac:dyDescent="0.2">
      <c r="A11" t="str">
        <v>In-Person</v>
      </c>
      <c r="B11">
        <v>3</v>
      </c>
      <c r="C11" s="9">
        <f>B11/(B11+B10)</f>
        <v>0.13636363636363635</v>
      </c>
      <c r="F11" s="5">
        <v>46209</v>
      </c>
      <c r="G11">
        <f>COUNTIFS('Application Process'!$B$2:$B$199,"&gt;="&amp;F11,'Application Process'!$B$2:$B$199,"&lt;"&amp;F11+7)</f>
        <v>3</v>
      </c>
    </row>
    <row r="12" spans="1:14" x14ac:dyDescent="0.2">
      <c r="A12" t="str">
        <v>Interviews</v>
      </c>
      <c r="B12">
        <v>0</v>
      </c>
      <c r="C12" s="9">
        <f>B12/COUNTIFS('Application Process'!$C$3:$C$200,"&lt;&gt;Need to Apply",'Application Process'!$A$3:$A$200,"&lt;&gt;")</f>
        <v>0</v>
      </c>
      <c r="F12" s="5">
        <v>46216</v>
      </c>
      <c r="G12">
        <f>COUNTIFS('Application Process'!$B$2:$B$199,"&gt;="&amp;F12,'Application Process'!$B$2:$B$199,"&lt;"&amp;F12+7)</f>
        <v>0</v>
      </c>
    </row>
    <row r="13" spans="1:14" x14ac:dyDescent="0.2">
      <c r="A13" t="str">
        <v>Responses</v>
      </c>
      <c r="B13">
        <v>20</v>
      </c>
      <c r="C13" s="9">
        <f>B13/COUNTIFS('Application Process'!$C$3:$C$200,"&lt;&gt;Need to Apply",'Application Process'!$A$3:$A$200,"&lt;&gt;")</f>
        <v>0.95238095238095233</v>
      </c>
      <c r="F13" s="5">
        <v>46223</v>
      </c>
      <c r="G13">
        <f>COUNTIFS('Application Process'!$B$2:$B$199,"&gt;="&amp;F13,'Application Process'!$B$2:$B$199,"&lt;"&amp;F13+7)</f>
        <v>0</v>
      </c>
    </row>
    <row r="14" spans="1:14" x14ac:dyDescent="0.2">
      <c r="F14" s="5">
        <v>46230</v>
      </c>
      <c r="G14">
        <f>COUNTIFS('Application Process'!$B$2:$B$199,"&gt;="&amp;F14,'Application Process'!$B$2:$B$199,"&lt;"&amp;F14+7)</f>
        <v>1</v>
      </c>
    </row>
    <row r="15" spans="1:14" ht="16" customHeight="1" x14ac:dyDescent="0.2">
      <c r="A15" s="6" t="s">
        <v>57</v>
      </c>
      <c r="B15" s="6"/>
      <c r="C15" s="6"/>
      <c r="D15" s="6"/>
      <c r="F15" s="5">
        <v>46237</v>
      </c>
      <c r="G15">
        <f>COUNTIFS('Application Process'!$B$2:$B$199,"&gt;="&amp;F15,'Application Process'!$B$2:$B$199,"&lt;"&amp;F15+7)</f>
        <v>0</v>
      </c>
      <c r="H15" s="5"/>
      <c r="I15" s="5"/>
      <c r="J15" s="5"/>
      <c r="K15" s="5"/>
      <c r="L15" s="5"/>
      <c r="M15" s="5"/>
      <c r="N15" s="5"/>
    </row>
    <row r="16" spans="1:14" x14ac:dyDescent="0.2">
      <c r="A16" s="6"/>
      <c r="B16" s="6"/>
      <c r="C16" s="6"/>
      <c r="D16" s="6"/>
      <c r="F16" s="5">
        <v>46244</v>
      </c>
      <c r="G16">
        <f>COUNTIFS('Application Process'!$B$2:$B$199,"&gt;="&amp;F16,'Application Process'!$B$2:$B$199,"&lt;"&amp;F16+7)</f>
        <v>0</v>
      </c>
    </row>
    <row r="17" spans="1:8" x14ac:dyDescent="0.2">
      <c r="A17" s="6"/>
      <c r="B17" s="6"/>
      <c r="C17" s="6"/>
      <c r="D17" s="6"/>
      <c r="F17" s="5">
        <v>46251</v>
      </c>
      <c r="G17">
        <f>COUNTIFS('Application Process'!$B$2:$B$199,"&gt;="&amp;F17,'Application Process'!$B$2:$B$199,"&lt;"&amp;F17+7)</f>
        <v>0</v>
      </c>
    </row>
    <row r="18" spans="1:8" x14ac:dyDescent="0.2">
      <c r="A18" s="6"/>
      <c r="B18" s="6"/>
      <c r="C18" s="6"/>
      <c r="D18" s="6"/>
      <c r="F18" s="5">
        <v>46258</v>
      </c>
      <c r="G18">
        <f>COUNTIFS('Application Process'!$B$2:$B$199,"&gt;="&amp;F18,'Application Process'!$B$2:$B$199,"&lt;"&amp;F18+7)</f>
        <v>0</v>
      </c>
    </row>
    <row r="19" spans="1:8" x14ac:dyDescent="0.2">
      <c r="A19" s="6"/>
      <c r="B19" s="6"/>
      <c r="C19" s="6"/>
      <c r="D19" s="6"/>
      <c r="F19" s="5">
        <v>46265</v>
      </c>
      <c r="G19">
        <f>COUNTIFS('Application Process'!$B$2:$B$199,"&gt;="&amp;F19,'Application Process'!$B$2:$B$199,"&lt;"&amp;F19+7)</f>
        <v>0</v>
      </c>
    </row>
    <row r="20" spans="1:8" x14ac:dyDescent="0.2">
      <c r="A20" s="6"/>
      <c r="B20" s="6"/>
      <c r="C20" s="6"/>
      <c r="D20" s="6"/>
      <c r="F20" s="5"/>
    </row>
    <row r="21" spans="1:8" x14ac:dyDescent="0.2">
      <c r="A21" s="6"/>
      <c r="B21" s="6"/>
      <c r="C21" s="6"/>
      <c r="D21" s="6"/>
      <c r="F21" t="s">
        <v>44</v>
      </c>
    </row>
    <row r="22" spans="1:8" x14ac:dyDescent="0.2">
      <c r="A22" s="6"/>
      <c r="B22" s="6"/>
      <c r="C22" s="6"/>
      <c r="D22" s="6"/>
      <c r="F22" s="11" t="s">
        <v>54</v>
      </c>
      <c r="G22" s="11"/>
      <c r="H22" s="11"/>
    </row>
    <row r="23" spans="1:8" x14ac:dyDescent="0.2">
      <c r="A23" s="6"/>
      <c r="B23" s="6"/>
      <c r="C23" s="6"/>
      <c r="D23" s="6"/>
      <c r="F23" s="12" t="s">
        <v>55</v>
      </c>
      <c r="G23" s="12"/>
      <c r="H23" s="12"/>
    </row>
    <row r="24" spans="1:8" x14ac:dyDescent="0.2">
      <c r="A24" s="6"/>
      <c r="B24" s="6"/>
      <c r="C24" s="6"/>
      <c r="D24" s="6"/>
      <c r="F24" s="13" t="s">
        <v>53</v>
      </c>
      <c r="G24" s="13"/>
      <c r="H24" s="13"/>
    </row>
    <row r="25" spans="1:8" x14ac:dyDescent="0.2">
      <c r="A25" s="6"/>
      <c r="B25" s="6"/>
      <c r="C25" s="6"/>
      <c r="D25" s="6"/>
      <c r="F25" s="14" t="s">
        <v>46</v>
      </c>
      <c r="G25" s="14"/>
      <c r="H25" s="14"/>
    </row>
    <row r="26" spans="1:8" x14ac:dyDescent="0.2">
      <c r="A26" s="7"/>
      <c r="B26" s="7"/>
      <c r="C26" s="7"/>
      <c r="D26" s="7"/>
      <c r="F26" s="10" t="s">
        <v>45</v>
      </c>
      <c r="G26" s="10"/>
      <c r="H26" s="10"/>
    </row>
    <row r="27" spans="1:8" x14ac:dyDescent="0.2">
      <c r="A27" s="7"/>
      <c r="B27" s="7"/>
      <c r="C27" s="7"/>
      <c r="D27" s="7"/>
    </row>
    <row r="28" spans="1:8" x14ac:dyDescent="0.2">
      <c r="A28" s="7"/>
      <c r="B28" s="7"/>
      <c r="C28" s="7"/>
      <c r="D28" s="7"/>
    </row>
  </sheetData>
  <mergeCells count="6">
    <mergeCell ref="F22:H22"/>
    <mergeCell ref="F23:H23"/>
    <mergeCell ref="F24:H24"/>
    <mergeCell ref="F25:H25"/>
    <mergeCell ref="F26:H26"/>
    <mergeCell ref="A15:D25"/>
  </mergeCells>
  <pageMargins left="0.7" right="0.7" top="0.75" bottom="0.75" header="0.3" footer="0.3"/>
  <pageSetup orientation="portrait" horizontalDpi="0" verticalDpi="0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Application Process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linh trieu</dc:creator>
  <cp:lastModifiedBy>Riley I. Lam</cp:lastModifiedBy>
  <dcterms:created xsi:type="dcterms:W3CDTF">2026-07-08T18:52:02Z</dcterms:created>
  <dcterms:modified xsi:type="dcterms:W3CDTF">2026-07-13T22:20:33Z</dcterms:modified>
</cp:coreProperties>
</file>